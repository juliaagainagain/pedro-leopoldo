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ulia\Downloads\"/>
    </mc:Choice>
  </mc:AlternateContent>
  <xr:revisionPtr revIDLastSave="0" documentId="13_ncr:1_{293DBE16-67EE-43E7-B848-21E696EFA8C1}" xr6:coauthVersionLast="47" xr6:coauthVersionMax="47" xr10:uidLastSave="{00000000-0000-0000-0000-000000000000}"/>
  <bookViews>
    <workbookView xWindow="-108" yWindow="-108" windowWidth="23256" windowHeight="13176" xr2:uid="{00000000-000D-0000-FFFF-FFFF00000000}"/>
  </bookViews>
  <sheets>
    <sheet name="Pontos Turísticos" sheetId="1" r:id="rId1"/>
    <sheet name="Casa Chico" sheetId="2" r:id="rId2"/>
    <sheet name="Gruta do Baú" sheetId="3" r:id="rId3"/>
    <sheet name="Urubu" sheetId="4" r:id="rId4"/>
    <sheet name="Luiz Gonzaga" sheetId="5" r:id="rId5"/>
    <sheet name="Cinem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6" i="1" l="1"/>
  <c r="I5" i="1"/>
  <c r="I4" i="1"/>
  <c r="I3" i="1"/>
</calcChain>
</file>

<file path=xl/sharedStrings.xml><?xml version="1.0" encoding="utf-8"?>
<sst xmlns="http://schemas.openxmlformats.org/spreadsheetml/2006/main" count="783" uniqueCount="497">
  <si>
    <t>Pontos turísticos em Pedro Leopoldo</t>
  </si>
  <si>
    <t>Posição</t>
  </si>
  <si>
    <t>Lugar</t>
  </si>
  <si>
    <t>Categoria</t>
  </si>
  <si>
    <t>Avaliação (em 5)</t>
  </si>
  <si>
    <t>Número de Avaliações</t>
  </si>
  <si>
    <t>Observações</t>
  </si>
  <si>
    <t>Resumo</t>
  </si>
  <si>
    <t>Casa Chico Xavier</t>
  </si>
  <si>
    <t>Museus especializados</t>
  </si>
  <si>
    <t>Número exato não informado na mensagem</t>
  </si>
  <si>
    <t>Total de locais</t>
  </si>
  <si>
    <t>Gruta do Baú</t>
  </si>
  <si>
    <t>Parques públicos</t>
  </si>
  <si>
    <t>Maior avaliação</t>
  </si>
  <si>
    <t>Cachoeira Do Urubu</t>
  </si>
  <si>
    <t>Cachoeiras</t>
  </si>
  <si>
    <t>Menor avaliação</t>
  </si>
  <si>
    <t>Centro Espírita Luiz Gonzaga</t>
  </si>
  <si>
    <t>Locais históricos</t>
  </si>
  <si>
    <t>Média das avaliações</t>
  </si>
  <si>
    <t>Casa Fernão Dias</t>
  </si>
  <si>
    <t>Lapa do Antão</t>
  </si>
  <si>
    <t>Montanhas</t>
  </si>
  <si>
    <t>Cine Marajá</t>
  </si>
  <si>
    <t>Cinemas</t>
  </si>
  <si>
    <t>Autor</t>
  </si>
  <si>
    <t>Local</t>
  </si>
  <si>
    <t>Contribuições</t>
  </si>
  <si>
    <t>Título da Avaliação</t>
  </si>
  <si>
    <t>Data/Tipo de Viagem</t>
  </si>
  <si>
    <t>Comentário</t>
  </si>
  <si>
    <t>Antonio R</t>
  </si>
  <si>
    <t>Rio de Janeiro, RJ</t>
  </si>
  <si>
    <t>44 contribuições</t>
  </si>
  <si>
    <t>Visita incrível a história de um dos grandes nomes do espiritismo brasileiro.</t>
  </si>
  <si>
    <t>set. de 2025 • Casal</t>
  </si>
  <si>
    <t>O espaço recria a casa onde nasceu o Chico Xavier, contando sua história, trabalho e legado. O curador, Sr, Edson, foi muito solícito e informativo</t>
  </si>
  <si>
    <t>Raphael D</t>
  </si>
  <si>
    <t>3 contribuições</t>
  </si>
  <si>
    <t>Sempre Chico!</t>
  </si>
  <si>
    <t>set. de 2023 • Casal</t>
  </si>
  <si>
    <t>Fomos recebidos amorosamente pelo responsável do local. Nos contou toda história, sempre sorrindo e solícito.A alma de Chico vibra naquele local de paz, amor e harmonia.</t>
  </si>
  <si>
    <t>SoL A</t>
  </si>
  <si>
    <t>1 contribuição</t>
  </si>
  <si>
    <t>Casa abençoada de luz</t>
  </si>
  <si>
    <t>jul. de 2023 • Solo</t>
  </si>
  <si>
    <t>Lugar de extrema paz. Recomendo o estudo do evangelho aos domingos, de 17:00às 19:00. Há uma pequena livraria e pequeno museu com exposição de objetos e livros.</t>
  </si>
  <si>
    <t>Paola N</t>
  </si>
  <si>
    <t>São Paulo, SP</t>
  </si>
  <si>
    <t>538 contribuições</t>
  </si>
  <si>
    <t>Encontrei fechada</t>
  </si>
  <si>
    <t>set. de 2022</t>
  </si>
  <si>
    <t>Encontrei o local fechado, no momento está funcionando para visitação apena a tarde, das 14h às 18h.</t>
  </si>
  <si>
    <t>Tirei foto apenas por fora. Agora a casa está abrindo para visitação apenas das 14h às 18h, eu corri para pegar o período da manhã até 12h, antes do almoço, como era o horário anterior.</t>
  </si>
  <si>
    <t>Ianne K</t>
  </si>
  <si>
    <t>Arapiraca, AL</t>
  </si>
  <si>
    <t>7 contribuições</t>
  </si>
  <si>
    <t>Vibração emocionante</t>
  </si>
  <si>
    <t>jan. de 2022 • Amigos</t>
  </si>
  <si>
    <t>Foi uma experiência surpreendente. Senti uma sensação maravilhosa percorrendo esse local. Essa visita foi de extrema importância para a minha caminhada.❤️</t>
  </si>
  <si>
    <t>Tigrecoe</t>
  </si>
  <si>
    <t>Barbacena, MG</t>
  </si>
  <si>
    <t>253 contribuições</t>
  </si>
  <si>
    <t>Espiritualidade</t>
  </si>
  <si>
    <t>dez. de 2019 • Solo</t>
  </si>
  <si>
    <t>Local de conhecimento e introspecção. Vale a pena conhecer um pouco da vida do grande médium mineiro.</t>
  </si>
  <si>
    <t>ZeliaContagem_Brazil</t>
  </si>
  <si>
    <t>571 contribuições</t>
  </si>
  <si>
    <t>Um Local Abençoado</t>
  </si>
  <si>
    <t>out. de 2019</t>
  </si>
  <si>
    <t>A Casa Chico Xavier tem uma entradinha modesta no final da rua, se não observamos bem é possível não encontrar o endereço. No acervo muitos livros e objetos que lembram  o médium. No local também ocorrem reuniões doutrinárias.</t>
  </si>
  <si>
    <t>Leo Manhães</t>
  </si>
  <si>
    <t>Imperdível!</t>
  </si>
  <si>
    <t>out. de 2019 • Solo</t>
  </si>
  <si>
    <t>Visitar a Casa de Chico é se sentir privilegiado de conhecer um local onde viveu um dos maiores espíritos que aqui estiveram. O local emana luz e uma paz maravilhosa.</t>
  </si>
  <si>
    <t>Dariela M</t>
  </si>
  <si>
    <t>Porto Alegre, RS</t>
  </si>
  <si>
    <t>13 contribuições</t>
  </si>
  <si>
    <t>Gratidão</t>
  </si>
  <si>
    <t>set. de 2019</t>
  </si>
  <si>
    <t>Local de muita paz, uma viagem ao passado, com uma emoção e sensação difícil de descrever. Um lindo jardim, um acervo de fotos e livros incríveis.</t>
  </si>
  <si>
    <t>Ana Paula V</t>
  </si>
  <si>
    <t>Pedro Leopoldo, MG</t>
  </si>
  <si>
    <t>21 contribuições</t>
  </si>
  <si>
    <t>Paz e Luz</t>
  </si>
  <si>
    <t>ago. de 2019 • Solo</t>
  </si>
  <si>
    <t>Lugar de paz, para aqueles que, muito mais que uma doutrina, buscam o bem. Calma e tranquilidade, além de toda obra de Chico e seu quarto mantido em perfeito estado.</t>
  </si>
  <si>
    <t>Raquel Daher</t>
  </si>
  <si>
    <t>Juiz de Fora, MG</t>
  </si>
  <si>
    <t>234 contribuições</t>
  </si>
  <si>
    <t>Conhecendo melhor a vida de Chico Xavier</t>
  </si>
  <si>
    <t>jul. de 2019 • Casal</t>
  </si>
  <si>
    <t>Chegamos na sexta,feira à tarde em Pedro Leopoldo para participar do Congresso Espírita e pudemos percorrer os caminhos de luz de Chico Xavier.Como havia um grupo grande de pessoas, um guia foi nos orientando.Na Casa Chico Xavier, ouvimos uma pequena palestra sobre o médium e pudemos ver o local que lhe serviu de casa nos últimos anos antes de se mudar para Uberaba.Muito bem cuidada. Vale o passeio.</t>
  </si>
  <si>
    <t>Ana Vieira</t>
  </si>
  <si>
    <t>164 contribuições</t>
  </si>
  <si>
    <t>Lugar iluminado</t>
  </si>
  <si>
    <t>mai. de 2019 • Amigos</t>
  </si>
  <si>
    <t>A casa de Chico é um lugar muito bem administrado. Sempre tem palestras interessantes e uma recepção maravilhosa.</t>
  </si>
  <si>
    <t>Adriane Dutra</t>
  </si>
  <si>
    <t>Curitiba, PR</t>
  </si>
  <si>
    <t>Fantástico!</t>
  </si>
  <si>
    <t>mar. de 2019 • Casal</t>
  </si>
  <si>
    <t>Além de manter vivo o legado de Chico Xavier na Doutrina Espírita, a casa permite conhecer, um pouco, do homem que passou por esta vida com a missão de amar.</t>
  </si>
  <si>
    <t>Mariana Massi</t>
  </si>
  <si>
    <t>Maceió, AL</t>
  </si>
  <si>
    <t>31 contribuições</t>
  </si>
  <si>
    <t>lugar com energia maravilhosa !</t>
  </si>
  <si>
    <t>out. de 2018 • Solo</t>
  </si>
  <si>
    <t>Fui na casa chico xavier e tive uma ótima recepção pela Bia que cuida de lá. Uma simpatia de pessoa que nos deixa muito a vontade e nos explica tudo sobre a casa, tem tela interativa assim que vc entra para saber um pouco mais. Uma formosura de lugar cheio de energia boa !!! vale a pena</t>
  </si>
  <si>
    <t>Valeska A</t>
  </si>
  <si>
    <t>Vitória, ES</t>
  </si>
  <si>
    <t>9 contribuições</t>
  </si>
  <si>
    <t>Imperdível! Independente de religião todos devem conhecer a história de Chico Xavier🌼</t>
  </si>
  <si>
    <t>mai. de 2018 • Solo</t>
  </si>
  <si>
    <t>Amei a recepção! Lugar tranquilo e de aprendizado👏🏻👏🏻👏🏻 visita obrigatória para quem está em BH e pode ir de Confins para Pedro Leopoldo, fica pertinho!</t>
  </si>
  <si>
    <t>Gabriela0709</t>
  </si>
  <si>
    <t>58 contribuições</t>
  </si>
  <si>
    <t>Sentimento de plenitude</t>
  </si>
  <si>
    <t>out. de 2017</t>
  </si>
  <si>
    <t>Que experiência maravilhosa eu como espirita poder participar de uma sessão onde o chico morou.... Experiência incrível!</t>
  </si>
  <si>
    <t>terezahelenadelucena</t>
  </si>
  <si>
    <t>Guarabira, PB</t>
  </si>
  <si>
    <t>Lugar de Vibrações de amor e paz!</t>
  </si>
  <si>
    <t>set. de 2017 • Casal</t>
  </si>
  <si>
    <t>Se me perguntarem se quero voltar a este lugar, minha resposta será: com certeza!É um pedacinho do céu na Terra! E pisar o chão que Chico Xavier por mais de 10 anos!é sentir o aconchego do amor. É aprender com a simplicidade!Simplesmente imperdível e inesquecível.Sem contar a recepção calorosa e amiga do sr. Hélcio que nos apresentou a casa e nos proporcionou momentos inolvidáveis.</t>
  </si>
  <si>
    <t>Ana_Villas</t>
  </si>
  <si>
    <t>29 contribuições</t>
  </si>
  <si>
    <t>Excelente</t>
  </si>
  <si>
    <t>ago. de 2017 • Solo</t>
  </si>
  <si>
    <t>Para os apreciadores de Chico, vale a visita. Conhecer onde e como ele vivia é, no mínimo, bastante interessante.</t>
  </si>
  <si>
    <t>GerenciaTupygua</t>
  </si>
  <si>
    <t>2 contribuições</t>
  </si>
  <si>
    <t>LOCAL DE PAZ</t>
  </si>
  <si>
    <t>fev. de 2017 • Amigos</t>
  </si>
  <si>
    <t>Esta é a casa do médium Chico Xavier. Local que mantém a paz que ele compartilhou em vida. Vale cada minuto.</t>
  </si>
  <si>
    <t>Karina S</t>
  </si>
  <si>
    <t>108 contribuições</t>
  </si>
  <si>
    <t>Interessante</t>
  </si>
  <si>
    <t>dez. de 2016 • Amigos</t>
  </si>
  <si>
    <t>Muito legal conhecer a casa do Chico Xavier, eh bem pequena, existe um quarto e o banheiro que ele utilizava. Na entrada existe a certidao de nascimento dele e algumas cartas e cartoes postais pessoais. Muito interessante, vale a pena conhecer.</t>
  </si>
  <si>
    <t>evandrodiniz1</t>
  </si>
  <si>
    <t>18 contribuições</t>
  </si>
  <si>
    <t>memória</t>
  </si>
  <si>
    <t>dez. de 2016 • Solo</t>
  </si>
  <si>
    <t>ligar onde se encontra a princípio muita paz...depois a história se faz contar...indiscutível.muita história nesta cidade..</t>
  </si>
  <si>
    <t>Denise D</t>
  </si>
  <si>
    <t>63 contribuições</t>
  </si>
  <si>
    <t>Um pouco da história de Chico Xavier</t>
  </si>
  <si>
    <t>out. de 2015 • Amigos</t>
  </si>
  <si>
    <t>Casa muito bonita, lugar de paz! Um pouquinho da história de Chico Xavier contata através dos cômodos da casa e dos seus objetos.</t>
  </si>
  <si>
    <t>Sandra A</t>
  </si>
  <si>
    <t>12 contribuições</t>
  </si>
  <si>
    <t>Cidade de Chico Xavier!</t>
  </si>
  <si>
    <t>jul. de 2016</t>
  </si>
  <si>
    <t>Para quem é amante da espiritualidade, aqui na casa de Chico Xavier é lugar de parada obrigatória! você encontra paz espiritual, além de cultura espiritual e a simplicidade que Chico viveu.</t>
  </si>
  <si>
    <t>Isabel O</t>
  </si>
  <si>
    <t>33 contribuições</t>
  </si>
  <si>
    <t>Linda</t>
  </si>
  <si>
    <t>Excelente,magnífica,parece que lá dentro o tempo não passa,a vida vai ficando totalmente tranquila,é um lugar de muita calma,lá dentro vc sente uma paz incrível</t>
  </si>
  <si>
    <t>Leonardo Flora</t>
  </si>
  <si>
    <t>Fortaleza, CE</t>
  </si>
  <si>
    <t>137 contribuições</t>
  </si>
  <si>
    <t>Paz !</t>
  </si>
  <si>
    <t>A visita à Casa Chico Xavier, já se percebe na entrada a energia do lugar ! Conhecer um pouco da história de amor e humildade de Chico, nos coloca para pensar sobre nosso comportamento. E, conta ainda com a presença do Sr. Helcio, amigo por mais de 30 anos de Chico, estórias que vc ficaria horas ali com ele ...Além da cidade de Pedro Leopoldo que é bem agradável.</t>
  </si>
  <si>
    <t>Renata G</t>
  </si>
  <si>
    <t>Belo Horizonte, MG</t>
  </si>
  <si>
    <t>111 contribuições</t>
  </si>
  <si>
    <t>Parada obrigatória!</t>
  </si>
  <si>
    <t>jul. de 2016 • Amigos</t>
  </si>
  <si>
    <t>Casa simples, muito bem cuidado, estilo "museu" devido ao acervo e conservação de objetos, livros e móveis do Chico.Aproveite para participar dos cultos e estudos.</t>
  </si>
  <si>
    <t>ESL65</t>
  </si>
  <si>
    <t>Emocionante!</t>
  </si>
  <si>
    <t>jun. de 2016</t>
  </si>
  <si>
    <t>Conhecer o local onde viveu Chico Xavier, uma pessoa excepcionalmente simples, caridosa e carismática, foi uma experiência única. A entrada da casa, que não se vê da rua, parece um portal - um corredor curto, alto, na cor azul celeste. As vibrações que o lugar tem são maravilhosas. Você se sente envolvido o tempo todo por uma paz... e chega a se emocionar às lágrimas. E o melhor de tudo foi conhecer o Sr. Élcio, que toma conta do lugar. Ele nos conta histórias deliciosas de ouvir do tempo que conviveu com o Chico. Passeio imperdível!</t>
  </si>
  <si>
    <t>RubiaCardoso</t>
  </si>
  <si>
    <t>CHICO MAIS PERTO DE VOCÊ!</t>
  </si>
  <si>
    <t>mai. de 2016 • Amigos</t>
  </si>
  <si>
    <t>Quer sentir o Chico mais perto de você?Ao visitar Pedro Leopoldo, passe pela Casa de Chico.Lá, respiramos Chico Xavier em todos os cantinhos da moradia, que é muito bem cuidada pelo nosso amigo e mano, HÉLCIO MARQUES. Ele nos conta passagens do Chico, com ele conviveu desde seus 17 anos de idade. E olhe que tem muiiiiitos causos para contar para todos. E conta com uma maestria tão grande, que enquanto ele fala, a gente "viaja" no tempo, junto com ele. Vale a pena. Amo Pedro Leopoldo. Visito todo ano, até duas vezes. E vou continuar visitando. Me fazem muito bem essa cidade, as histórias do Chico, a recepção do povo que é bastante hospitaleiro. Me sinto em casa.</t>
  </si>
  <si>
    <t>Fabio Brand</t>
  </si>
  <si>
    <t>Petrópolis, RJ</t>
  </si>
  <si>
    <t>56 contribuições</t>
  </si>
  <si>
    <t>Ótimo, a casa tem uma Energia Ótima</t>
  </si>
  <si>
    <t>mai. de 2016</t>
  </si>
  <si>
    <t>Ótimo, o Sr. Élcio que é o responsável pela casa da uma pitada toda especial a nossa visita, nos enchendo de informações e contos fantásticos.</t>
  </si>
  <si>
    <t>Haroldo L</t>
  </si>
  <si>
    <t>Grenelle, França</t>
  </si>
  <si>
    <t>28 contribuições</t>
  </si>
  <si>
    <t>Cultura e paz</t>
  </si>
  <si>
    <t>fev. de 2016 • Solo</t>
  </si>
  <si>
    <t>Visitar a Casa de Chico Xavier é uma experiência agradável. Livros, objetos pessoais de Chico Xavier, visita guiada pelo curador. Bom lugar para descobrir a história do maios brasileiro de todos os tempos.Great experience. Books, guided visit, personal stuff. Good site to discover the history of the greatest Brazilian in all times.</t>
  </si>
  <si>
    <t>RobsBastos</t>
  </si>
  <si>
    <t>Casa Chico Xavier - Casa de Paz</t>
  </si>
  <si>
    <t>abr. de 2016 • Solo</t>
  </si>
  <si>
    <t>A Casa Chico Xavier é pequena, mas muito bem organizada de forma que a mostra dos ambientes, objetos e livros seja agradável. Antes de ser aberta ao público para visitação, a Casa  passou por uma reforma a fim de abrigar um espaço de visita e oração.</t>
  </si>
  <si>
    <t>izabelichaves</t>
  </si>
  <si>
    <t>Marabá, PA</t>
  </si>
  <si>
    <t>20 contribuições</t>
  </si>
  <si>
    <t>Lugar lindo e acolhedor</t>
  </si>
  <si>
    <t>mai. de 2016 • Solo</t>
  </si>
  <si>
    <t>Lugar encantador e de uma energia maravilhosa. na casa tem uma árvore que o próprio Chico plantou, e o cheiro  das flores é maravilhoso. O senhor que cuida do local me mostrou tudo, me convidou pras reuniões aos domingo e ainda me deu uma florzinha do Chico. Amei tudo</t>
  </si>
  <si>
    <t>Roberto_Poltronieri</t>
  </si>
  <si>
    <t>584 contribuições</t>
  </si>
  <si>
    <t>Não seguem o horário de funcionamento que está na placa</t>
  </si>
  <si>
    <t>A entrada fica meio escondida, atrás de um poste. Tive que ir lá duas vezes até encontrar.Não fui feliz ao tentar visitar a Casa de Chico Xavier.Primeiro, que no hotel em que eu estava, me indicaram o Centro Espírita fundado por ele, e não a casa.Segundo porque fiquei aguardando por dezenas de minutos após as 14:00 esperando chegar alguém para abrir a porta, mas sem sucesso.Ou seja, não consegui conhecer dentro da casa.</t>
  </si>
  <si>
    <t>Vânia M</t>
  </si>
  <si>
    <t>16 contribuições</t>
  </si>
  <si>
    <t>Encantador!</t>
  </si>
  <si>
    <t>fev. de 2016</t>
  </si>
  <si>
    <t>Lugar imperdível para aqueles que querem conhecer melhor quem foi Chico Xavier e aprender um pouco mais sobre a doutrina espírita.</t>
  </si>
  <si>
    <t>vick_araujo</t>
  </si>
  <si>
    <t>35 contribuições</t>
  </si>
  <si>
    <t>simples</t>
  </si>
  <si>
    <t>abr. de 2015 • Amigos</t>
  </si>
  <si>
    <t>é um museu bem simples, contando apenas com poucos objetos, mas tem uma pequena biblioteca bem interessante</t>
  </si>
  <si>
    <t>vbfernandes</t>
  </si>
  <si>
    <t>Salvador, BA</t>
  </si>
  <si>
    <t>39 contribuições</t>
  </si>
  <si>
    <t>História</t>
  </si>
  <si>
    <t>dez. de 2014</t>
  </si>
  <si>
    <t>Um bom lugar para visitar, um museu sobre o Chico Xavier, com alguns objetos que ele utilizava, como chapéu, óculos e algumas cartinhas. Não sou espírita mas visitei a título de curiosidade.</t>
  </si>
  <si>
    <t>Isabela D</t>
  </si>
  <si>
    <t>47 contribuições</t>
  </si>
  <si>
    <t>Encontre a paz</t>
  </si>
  <si>
    <t>set. de 2015 • Amigos</t>
  </si>
  <si>
    <t>um lugar com vários pertences de um dos maiores mediuns do  mundo, lá vc conhece um pouco da história dele, contando com nosso amigo Helcio(colaborador da casa) para te auxiliar, além de ser um lugar de muita paz e abençoado</t>
  </si>
  <si>
    <t>Nazareno Feitosa</t>
  </si>
  <si>
    <t>ago. de 2015 • Casal</t>
  </si>
  <si>
    <t>Imperdível! A 20 min do aeroporto de Confins - Belo Horizonte. Quarto de Chico Xavier, objetos, quadros, psicografias, Monitor eletrônico interativo com muitas informações. Excelente opção em Pedro Leopoldo! Gratuito e conta com guia para contar inúmeros detalhes!</t>
  </si>
  <si>
    <t>eduardo_212013</t>
  </si>
  <si>
    <t>315 contribuições</t>
  </si>
  <si>
    <t>local para reflexão</t>
  </si>
  <si>
    <t>mai. de 2015 • Casal</t>
  </si>
  <si>
    <t>Local calmo e bonito. Uma ótima opçao para conhecer, parar e refletir sobre nossa vida e acontecimentos</t>
  </si>
  <si>
    <t>VALÉRIA B</t>
  </si>
  <si>
    <t>78 contribuições</t>
  </si>
  <si>
    <t>Lição de vida</t>
  </si>
  <si>
    <t>jul. de 2015</t>
  </si>
  <si>
    <t>Local de muita paz e para quer conhecer a historia deste homem maravilhoso que somente deu felicidade e conforto ao coração de mutis, não pode deixar de visitar, maravilhoso.</t>
  </si>
  <si>
    <t>Mara Vieira</t>
  </si>
  <si>
    <t>Linda!!</t>
  </si>
  <si>
    <t>jul. de 2015 • Solo</t>
  </si>
  <si>
    <t>A casa foi reformada e ficou  linda, ao entrar se tem a sensação de paz interior, o ambiente é muito agradável e conta como foi a vida de Chico na cidade. Vale a pena conhecer!!</t>
  </si>
  <si>
    <t>Bruno G</t>
  </si>
  <si>
    <t>Vercelli, Itália</t>
  </si>
  <si>
    <t>1.156 contribuições</t>
  </si>
  <si>
    <t>Parar quem gosta do Grande Xico</t>
  </si>
  <si>
    <t>mar. de 2015 • Solo</t>
  </si>
  <si>
    <t>Muito rica e cheia de documentos, não è para perder pra quem gosta do grande Xico! Mesmo que o lugar seja pequeno è muito rico e da uma boa emoção!</t>
  </si>
  <si>
    <t>Francisco B</t>
  </si>
  <si>
    <t>757 contribuições</t>
  </si>
  <si>
    <t>Muito bem cuidado</t>
  </si>
  <si>
    <t>mai. de 2015 • Amigos</t>
  </si>
  <si>
    <t>Fica no centro da cidade de fácil localização. O horário de funcionamento é:3ª a 6ª - 09:00h às 12:00h / 14:00h às 18:00Sábado – 09:00h às 14:00hDomingo – 10:00h às 12:00h e 17:00 às 20:00hÉ a casa onde Chico Xavier morou até sua ida para Uberaba. Local muito bem cuidado inspira muita paz. Mantém o quarto e o banheiro como eram na época que o médium lá residiu.Possui além do auditório, onde semanalmente tem reunião, espaço com documentos, obras e fotos de Chico. Uma pessoa, que tem muito conhecimento da vida do médium, atende gentilmente os visitantes. Vale uma visita não só aos adeptos do espiritismo como também quem tem interesse na história da vida de uma pessoa que fez história em nosso país.</t>
  </si>
  <si>
    <t>FlávioMello M</t>
  </si>
  <si>
    <t>1.208 contribuições</t>
  </si>
  <si>
    <t>Paz</t>
  </si>
  <si>
    <t>jun. de 2014 • Casal</t>
  </si>
  <si>
    <t>Fantástica a Casa de Chico Xavier que ainda preserva parte de seus objetos pessoais e o quarto onde dormiu por muito tempo.Existem reuniões aos domingos no final do dia que são bem agradáveis,</t>
  </si>
  <si>
    <t>Juliana A</t>
  </si>
  <si>
    <t>abr. de 2015 • Casal</t>
  </si>
  <si>
    <t>Uma energia e uma paz muito boa ao visitar a casa. Um pouco da história do Chico para mostrar o quão importante ele foi para o espiritismo. Só não sabíamos que a "casa" fechava na hora do almoço, portanto tivemos que esperar um pouco para conhecer.</t>
  </si>
  <si>
    <t>Daniela D</t>
  </si>
  <si>
    <t>Bauru, SP</t>
  </si>
  <si>
    <t>141 contribuições</t>
  </si>
  <si>
    <t>COMO SEMPRE, MARAVILHOSA!</t>
  </si>
  <si>
    <t>out. de 2014</t>
  </si>
  <si>
    <t>A energia que flui ao nos aproximarmos dessa pequena grade Casa é uma coisa maravilhosa!Da calçada já é possível sentir a paz que permeia o local.Logo na entrada já se vê uma placa em vidro com frase de Jesus.A sala é linda, com fotos e passagens da vida do querido Chico.Há dois cômodos com a exposição de seus mais de 400 livros.O banheiro e o quarto de Chico são emocionantes: ver que uma alma tão grandiosa vivia tão simplesmente daquela forma!Muito linda a parede em que está pintada a assinatura de Chico! Digna de foto com o visitante.E por fim a surpresa: O local onde há reuniões públicas (muito agradável, com verde e iluminação natural) era o quintal de Chico, exatamente onde ele fazia seu Evangelho. A energia ali é indescritível.Pessoal simpático. Trataram-nos com muito amor.</t>
  </si>
  <si>
    <t>Solange293</t>
  </si>
  <si>
    <t>exelente</t>
  </si>
  <si>
    <t>ago. de 2014 • Amigos</t>
  </si>
  <si>
    <t>É Indescritível o se sente ali, pode-se dizer que a vontade é de ficar lá indefinidamente. É uma alegria intensa</t>
  </si>
  <si>
    <t>Jansen19742014</t>
  </si>
  <si>
    <t>Elói Mendes, MG</t>
  </si>
  <si>
    <t>125 contribuições</t>
  </si>
  <si>
    <t>Grandiosidade de uma vida</t>
  </si>
  <si>
    <t>jul. de 2014 • Solo</t>
  </si>
  <si>
    <t>Sempre estou indo a Pedro Leopoldo fazer audiências, e tive a oportunidade de tirar uma hora, para visitar a casa/museu Chico Xavier, fiquei impressionado pela vastidão da obra do Chico Xavier, consistente em centenas de livros publicados nos mais diversos idiomas, a referida habitação preserva os pertences do mesmo, um ambiente simples, mais que ressai a grandiosidade de uma vida, pautada pela simplicidade e humildade, lugar de espiritualidade e paz, e em anexo a casa possui um auditório, onde o visitante é recebido pelo responsável pela casa e dá uma nuance de quem foi Chico Xavier e o que representa a obra do mesmo.</t>
  </si>
  <si>
    <t>Bruno P</t>
  </si>
  <si>
    <t>nov. de 2013 • Amigos</t>
  </si>
  <si>
    <t>Lugar de muita paz e harmonia, uma verdadeira aula de simplicidade e espiritualidade. Vale a pena conhecer junto com outros roteiros em Pedro Leopoldo.</t>
  </si>
  <si>
    <t>Marysanavia</t>
  </si>
  <si>
    <t>Exemplo de vida.</t>
  </si>
  <si>
    <t>abr. de 2014 • Amigos</t>
  </si>
  <si>
    <t>Local maravilhoso. Lugar de paz, calma e harmonia. Casa que Chico morou, Com certeza vale a pena conhecer.</t>
  </si>
  <si>
    <t>Ana Lucia  R</t>
  </si>
  <si>
    <t>Campinas, SP</t>
  </si>
  <si>
    <t>Independentemente da religião, para os admiradores da vida e do trabalho do Chico, este é um lugar que merece ser visitado. O ambiente simples transmite uma energia de paz e tranquilidade. Não cobra entrada. Gostei muito.</t>
  </si>
  <si>
    <t>josejacobina</t>
  </si>
  <si>
    <t>Morada Nova de Minas, MG</t>
  </si>
  <si>
    <t>185 contribuições</t>
  </si>
  <si>
    <t>Casa de Chico Xavier</t>
  </si>
  <si>
    <t>mai. de 2014</t>
  </si>
  <si>
    <t>Ótimo para visitas com historia da vida do grande médium Chico Xavier que nasceu em Pedro Leopoldo, mas ficou famoso em Uberaba.</t>
  </si>
  <si>
    <t>Fatima R</t>
  </si>
  <si>
    <t>38 contribuições</t>
  </si>
  <si>
    <t>MUITO EMOCIONANTE</t>
  </si>
  <si>
    <t>fev. de 2014</t>
  </si>
  <si>
    <t>É emocionante conhecer a casa onde Chico viveu em Pedro Leopoldo.Casinha humilde, foi amplamente reformada para receber os visitantes.Conta com todo o acervo de livros psicografados pelo médium, além de ter o seu quarto com seus pertences intactos, bem como o banheiro.Possui uma sala de reuniões, projetada para ser coo um jardim. Fica no local onde era o quintal do médium, e onde ele realizava, todos os domingos, o Evangelho no Lar. Assim, mantem-se o Evangelho e os estudos todos os domingos, a partir das 18 hs</t>
  </si>
  <si>
    <t>Regina C</t>
  </si>
  <si>
    <t>Maravilha</t>
  </si>
  <si>
    <t>dez. de 2013 • Amigos</t>
  </si>
  <si>
    <t>Lugar lindo, de muita paz, contando as passagens de sua vida.Muito bem visitada, principalmente pelos turistas. O lugar é simples e lindo. O atendente é um ótimo comunicador e conhecedor de suahistória.</t>
  </si>
  <si>
    <t>Helio Guimaraes</t>
  </si>
  <si>
    <t>1.582 contribuições</t>
  </si>
  <si>
    <t>Bacana</t>
  </si>
  <si>
    <t>dez. de 2013 • Solo</t>
  </si>
  <si>
    <t>Foi montado em Pedro Leopoldo uma espécie de Memorial de Chico Xavier, onde há várias passagens sobre a vida do medium. São algumas salas que exibem fotos e vídeos de todas as épocas de Chico. Vale a visita pela história.</t>
  </si>
  <si>
    <t>Felipe  - Silva S</t>
  </si>
  <si>
    <t>Brasília, DF</t>
  </si>
  <si>
    <t>5 contribuições</t>
  </si>
  <si>
    <t>Passeio</t>
  </si>
  <si>
    <t>mai. de 2013 • Casal</t>
  </si>
  <si>
    <t>Casa que conta a vida de Chico Xavier , lugar pequeno e simples, mais que está eternizado vários feitos de Chico Xavier.</t>
  </si>
  <si>
    <t>Gilberto O</t>
  </si>
  <si>
    <t>72 contribuições</t>
  </si>
  <si>
    <t>CASA MARAVILHOSA, DE MUITA PAZ</t>
  </si>
  <si>
    <t>abr. de 2014 • Casal</t>
  </si>
  <si>
    <t>A Casa de chico Xavier é a primeira casinha onde Chico morou, em Pedro Leopoldo.O lugar é lindo, com uma energia fantástica. Conta com um pequeno jardim de entrada. Em seguida, a sala da frente, onde existem várias fotos que contam a vida do querido Chico.São duas salas repletas de livros por ele psicografados.O banheiro inteiramente preservado e o seu quarto, com duas camas e alguns pertences pessoais, emocionam demais.Por fim, o auditório que era, na verdade, o quintal do Chico. Transformado em uma sala com bastante luz natural e um jardim de inverno, o Culto no Lar é efetuado todos os domingos, às 18 hs, no mesmo local, dia da semana e horário em que Chico fazia o seu Evangelho do Lar.Lindo de se ver! E melhor: fica ao lado do Aeroporto de Confins</t>
  </si>
  <si>
    <t>LUGAR MARAVILHOSO!! ENERGIA CONTAGIANTE</t>
  </si>
  <si>
    <t>Para todas as religiões, mas especialmente para o espírita, conhecer a Casa de Chico Xavier é imprescindível.Lugar humilde onde Chico viveu quando ainda despontava sua mediunidade, hoje foi transformado em um museu, com inúmeras fotografias, exposição de todos os livros que psicografou e alguns de seus móveis e pertences pessoais.Cada fibra da nossa alma vibra ao adentrar o local.Aos domingos há o Evangelho no Lar!</t>
  </si>
  <si>
    <t>Gabriel M</t>
  </si>
  <si>
    <t>23 contribuições</t>
  </si>
  <si>
    <t>Não é um meu tipo</t>
  </si>
  <si>
    <t>fev. de 2014 • Solo</t>
  </si>
  <si>
    <t>Para os fãs pode ate ser um local maravilhoso, conta realmente a historia do Chico Xavier, com muita consistência, muitos moveis e coisas da vida dele, porem, eu nunca tive muito interesse. Mas para os fãs, vale a pena</t>
  </si>
  <si>
    <t>MatiasNar</t>
  </si>
  <si>
    <t>17 contribuições</t>
  </si>
  <si>
    <t>Maravilhosa experiencia!</t>
  </si>
  <si>
    <t>dez. de 2013</t>
  </si>
  <si>
    <t>Para quem visita Pedro Leopoldo para conhecer a vida do Chico Xavier se trata de uma experiencia inesquecivel conhecer a ultima casa onde o medium morou antes de ir para Uberaba. A casa foi restaurada e ficou muito bonita! tem colecao de livros, de fotos do Chico e uma sala para reunioes onde os domingos a tarde fazem leituras e passes. Uma experiencia inesquecivel...</t>
  </si>
  <si>
    <t>lanlalan</t>
  </si>
  <si>
    <t>6 contribuições</t>
  </si>
  <si>
    <t>vale a pena conferir</t>
  </si>
  <si>
    <t>ago. de 2013 • Negócios</t>
  </si>
  <si>
    <t>linda casa, historia linda de um grande homem! vale a pena visitarla vc se envolve com a vida que chico viveu, a energia é muito boa. sai de la com uma otima energia.</t>
  </si>
  <si>
    <t>FERNANDO C</t>
  </si>
  <si>
    <t>4 contribuições</t>
  </si>
  <si>
    <t>Muita Paz</t>
  </si>
  <si>
    <t>set. de 2013 • Solo</t>
  </si>
  <si>
    <t>Vale a pena conhecer, local de muita paz e serenidade. Conheçam o Sr. Elcio, mantenedor da casa, pura experiência e conhecimento. Obrigado pela oportunidade.</t>
  </si>
  <si>
    <t>HiranKF</t>
  </si>
  <si>
    <t>abr. de 2013 • Negócios</t>
  </si>
  <si>
    <t>Para quem é espírita, DEVE ir visitar. A emoção e sensação dentro da casa é muito boa Sente-se uma vibração e energia positiva. Quando fui nãoconsegui ir na sessão, mas só a visita já valeu muito.</t>
  </si>
  <si>
    <t>Arabelle_Lis</t>
  </si>
  <si>
    <t>muito bem conservado</t>
  </si>
  <si>
    <t>abr. de 2013 • Solo</t>
  </si>
  <si>
    <t>A casa é pequena, transmite paz, muito bem cuidada. Apresenta móveis e vestuário de Chico Xavier além de expor uma extensa quantidade de obras do autor. Conta também com um bom salão para reunião/apresentação.</t>
  </si>
  <si>
    <t>Clebicar</t>
  </si>
  <si>
    <t>8.586 contribuições</t>
  </si>
  <si>
    <t>Top demais as trilhas e a gruta</t>
  </si>
  <si>
    <t>nov. de 2025 • Casal</t>
  </si>
  <si>
    <t>Um passeio bacana e gostoso a apenas 50 km de BH. Gruta do Baú: Restaurante, trilhas (São 3, de fácil a moderado), escalada, visita a gruta e, no final, um delicioso almoço de comida mineira raiz. Tem trilha de bike também. Recomendo demais o passeio!</t>
  </si>
  <si>
    <t>Samuel Suga GamerYT</t>
  </si>
  <si>
    <t>Betim, MG</t>
  </si>
  <si>
    <t>11 contribuições</t>
  </si>
  <si>
    <t>Excursão à Gruta do Baú</t>
  </si>
  <si>
    <t>set. de 2025 • Amigos</t>
  </si>
  <si>
    <t>No mês 9/2025 fui a uma excursão com minha escola, Colégio Batista Mineiro.Gostei muito da comida e da recreação, tudo isso é muito legal, mas a melhor parte é a gruta que é muito linda!</t>
  </si>
  <si>
    <t>Guiamineiro</t>
  </si>
  <si>
    <t>Confins, MG</t>
  </si>
  <si>
    <t>Reconectar</t>
  </si>
  <si>
    <t>jul. de 2024 • Negócios</t>
  </si>
  <si>
    <t>Visitar a Fazenda Gruta do Baú não é apenas conhecer um lugar bonito — é se reconectar com a natureza, com a história e com pessoas que realmente amam o que fazem.</t>
  </si>
  <si>
    <t>GAS</t>
  </si>
  <si>
    <t>15 contribuições</t>
  </si>
  <si>
    <t>Passeio muito bom para família com crianças</t>
  </si>
  <si>
    <t>fev. de 2025</t>
  </si>
  <si>
    <t>Passeio muito bom para família com crianças. Comida boa, um ótimo programa para se fazer. A parte de informações sobre Pousada e a pescaria que poderia ser melhor trabalhada, porque existem informações desencontradas.</t>
  </si>
  <si>
    <t>Matheus F</t>
  </si>
  <si>
    <t>Passeio bom! Dá para melhorar</t>
  </si>
  <si>
    <t>mai. de 2024</t>
  </si>
  <si>
    <t>A experiência foi boa. Importante ressaltar que fomos em uma data de feriado, em que muitas pessoas procurar o local para ir. Os pontos positivos foram a comida, as trilhas e a gruta. Compramos todos os passeios, porém o gurgel estava com defeito. Eles reembolsaram o valor. O passeio a cavalo é mais para crianças, além de ter apenas um cavalo. Fiquei preocupado com a saúde do animal. Optamos por nao andar e eles tbm reembolsaram o valor. Com relação a gruta, sugiro que eles informem melhor as pessoas. Após sair da gruta, foi informado que havia animais peçonhentos (aranhas principalmente, que eu mesmo vi). Penso que deveria ser dito antes da entrada, para evitar que as pessoas encostem nas peras da gruta e sejam picadas. Isso é importante até para quem leva crianças para o passeio. Sugestões para ir de calça e sapato adequado tbm seriam importantes. Por fim, eu senti falta de uma organização maior. Eles entregam apenas um cartão por carro e não por pessoa. Os carros ficam fechando a entrada, pois não há ninguém para orientar. Apesar desses detalhes, é um passeio que super vale a pena.</t>
  </si>
  <si>
    <t>Perfeito para adultos e crianças.</t>
  </si>
  <si>
    <t>ago. de 2023</t>
  </si>
  <si>
    <t>Lugar delicioso. Ótima opção para família e grupo de amigos. Lugar perfeito para as crianças aproveitarem com brincadeiras ao ar livre e contato com a natureza. Existe uma opção de hospedagem dentro da fazenda com uma estrutura bem legal e uma vista linda. Passamos o dia, chegamos antes do almoço e saímos na hora de fechar. Comida gostosa, preço justo, recreação infantil fenomenal. A visita dentro da gruta é paga a parte e só é feita com um guia.</t>
  </si>
  <si>
    <t>Sabrina Duarte</t>
  </si>
  <si>
    <t>89 contribuições</t>
  </si>
  <si>
    <t>Lugar agradável</t>
  </si>
  <si>
    <t>fev. de 2023</t>
  </si>
  <si>
    <t>Lugar agradável. Funcionários educados. Comida simples mas gostosa. Se não me engano paguei 79,00 o kilo. Na semana do carnaval. Paga 15,00 para entrar. Tem várias atrações que são pagas à parte.Bom para levar crianças. Não cheguei a fazer o passeio na gruta, estava muito calor. Mas algumas pessoas que estavam comigo foram e gostaram. Só questionaram sobre equipamentos de segurança que não tem, e é muito importante. E muita depredação, pichações. Deveria ser mais bem cuidada.</t>
  </si>
  <si>
    <t>Em_Brasil</t>
  </si>
  <si>
    <t>147 contribuições</t>
  </si>
  <si>
    <t>Passeio cheio de natureza e belas paisagens</t>
  </si>
  <si>
    <t>jul. de 2021</t>
  </si>
  <si>
    <t>A Fazenda da Gruta do Baú recebe há anos pessoal para escalada. Há 3 meses foi aberta para receber grupos para passar o dia. A valor da entrada é de 15 reais por pessoa (só a entrada pois há outras atividades de são pagas a parte). Na entrada há estacionamento e um restaurante que serve almoço (pratos feitos e salgados). Aos sábados há rodízio de caldos s noite. Há bom locais para fazer picnic também. O lugar é enorme. Para as crianças há passeio de cavalo e de Gurgel (tipo jeep), além de um playground. Há algumas trilhas para passeio. A visita da gruta é feita com guia e a compra do ingresso e agendamento são feitos na entrada. O passeio na gruta dura em torno de 30min a uma hora, feito com lanternas e finaliza na pedra da fechadura do Baú. No local há um paredão que dizem ser uma das maiores conchas acústicas do Brasil. Fui com crianças (3 e 5 anos) e foi um passeio muito agradável. As crianças amaram. Lugar maravilhoso para passar o dia.</t>
  </si>
  <si>
    <t>kathleen</t>
  </si>
  <si>
    <t>Sem estrutura pra receber niguem pelo valor cobrado 0</t>
  </si>
  <si>
    <t>out. de 2024 • Casal</t>
  </si>
  <si>
    <t>Olha estou extremante decepcionado com o local , foi eu e minha esposa achando que ia ser local receptivo , bosta nem uma , primeiro cortou todo o clima lugar se paga 40 reais por pessoa, não tem quiosque pra família se aconchegar , segundo lugar nao tem bebida nem comida local a moça de outro lugar tem que trazer 0 , pelo valor cobrado o lugar tem que ser muito Melhor eu fui embora antes de 2 horas , sentir um cheiro estranho da agua e vi algumas coisas na agua muito suspeita com cheiro nao recomenda ninguém ir la pois acho que tem algum esgoto conectado na cachoeira , nota 0 no lugar nao volto nunca mais!!!!!</t>
  </si>
  <si>
    <t>Hebert B</t>
  </si>
  <si>
    <t>Poluição total</t>
  </si>
  <si>
    <t>nov. de 2021 • Solo</t>
  </si>
  <si>
    <t>Água poluída e contaminada. Ambiente belo mas impossível retornar.Isso não é divulgado, mas recebem o esgoto das cidades vizinhas na parte alta, antes da queda.</t>
  </si>
  <si>
    <t>Camila S</t>
  </si>
  <si>
    <t>Lugar maravilhoso</t>
  </si>
  <si>
    <t>jul. de 2020 • Casal</t>
  </si>
  <si>
    <t>Um lugar muito bom para ter uma experiência de contato com a natureza. Além da cachoeira ser uma delícia, é muito bom para banhar-se. Vou SEMPRE lá!</t>
  </si>
  <si>
    <t>Bruno</t>
  </si>
  <si>
    <t>mar. de 2021</t>
  </si>
  <si>
    <t>Lugar de facil acesso, muito lindo, limpo, area grande com churrasqueiras espalhadas, preço justo e pessoal muito gente boa</t>
  </si>
  <si>
    <t>Denise N</t>
  </si>
  <si>
    <t>Maravilhoso</t>
  </si>
  <si>
    <t>mai. de 2021 • Amigos</t>
  </si>
  <si>
    <t>Maravilhoso !! Nunca vi uma cachoeira tão acessível, tem queda dágua e piscinas naturais, campo de futebol</t>
  </si>
  <si>
    <t>carine v</t>
  </si>
  <si>
    <t>Frustrada</t>
  </si>
  <si>
    <t>abr. de 2021</t>
  </si>
  <si>
    <t>O rapaz que estava na portaria é desonesto.Estava cobrando 50 reais por pessoa. Sendo que no site está 10 reais.Fiquei decepcionada.</t>
  </si>
  <si>
    <t>Larapessanha</t>
  </si>
  <si>
    <t>97 contribuições</t>
  </si>
  <si>
    <t>Refúgio</t>
  </si>
  <si>
    <t>jan. de 2021 • Amigos</t>
  </si>
  <si>
    <t>A cachoeira é linda e uma ótima opção para finais de semana ou feriados para se refrescar, estar com a família e amigos. Tem estrutura (estacionamento, banheiros, etc.) e muitas pessoas aproveitam para fazer churrasco. O valor é justo e vale a pena conhecer!</t>
  </si>
  <si>
    <t>Ágatha V</t>
  </si>
  <si>
    <t>Chico permeia todo o local</t>
  </si>
  <si>
    <t>ago. de 2023 • Casal</t>
  </si>
  <si>
    <t>É incrível estar neste local. A energia de Chico permeia todos os cantos. Sentimos muita paz e alegria. Parabéns a todos que trabalham e mantém esse ambiente com tanto carinho.</t>
  </si>
  <si>
    <t>Local de muita paz, serenidade, aprendizado, emoção, sentimentos e emoções difíceis de descrever. Pessoas gentis, e com grande conhecimento.</t>
  </si>
  <si>
    <t>Cristina F</t>
  </si>
  <si>
    <t>Um lugar de paz</t>
  </si>
  <si>
    <t>ago. de 2019</t>
  </si>
  <si>
    <t>A casa é pequena, mas tem uma energia ímpar! Muito bem administrada e cuidada, possui um vasto acervo dos livros, além de mostrar a simplicidade de Chico Xavier.</t>
  </si>
  <si>
    <t>75 contribuições</t>
  </si>
  <si>
    <t>Palestras ricas</t>
  </si>
  <si>
    <t>out. de 2018 • Amigos</t>
  </si>
  <si>
    <t>Centro Espírita tradicional na cidade, onde podemos ouvir maravilhosas palestras sobre o kardecismo. Também possui uma biblioteca aberta ao público.</t>
  </si>
  <si>
    <t>Ambiente agradável</t>
  </si>
  <si>
    <t>Como estive em Pedro Leopoldo para, além de participar do Congresso Espírita, conhecer melhor o médium Chico Xavier, não poderia deixar de visitar o Centro Espírita Luiz Gonzaga.Podemos conhecer todas as salas e ouvir palavras explicativas sobre os trabalhos desenvolvidos.Interessante.</t>
  </si>
  <si>
    <t>Alguém que ♥️ viajar</t>
  </si>
  <si>
    <t>Passos, MG</t>
  </si>
  <si>
    <t>Ambiente acolhedor</t>
  </si>
  <si>
    <t>jan. de 2019</t>
  </si>
  <si>
    <t>É possível sentir boas energias no local, tem um local dedicado ao Chico Xavier onde é possível encontrar alguns itens do médium e quadros que explicam sua história enquanto viveu em Pedro Leopoldo, inclusive fizeram uma réplica da frente da casa onde ele nasceu, é surpreendente o carinho e respeito que demonstram por ele e por tudo que ele representa.</t>
  </si>
  <si>
    <t>94 contribuições</t>
  </si>
  <si>
    <t>Um Local para Visitar e Orar</t>
  </si>
  <si>
    <t>dez. de 2018</t>
  </si>
  <si>
    <t>Casa Espírita situada na cidade de Pedro Leopoldo, foi frequentada pelo grande médium Francisco Cândido Xavier. A casa realiza reuniões durante a semana e anexa a mesma existe um memorial em homenagem a Chico Xavier.</t>
  </si>
  <si>
    <t>Mario R</t>
  </si>
  <si>
    <t>LOCAL DE PAZ - CONTINUAÇÃO DA OBRA DE CHICO XAVIER</t>
  </si>
  <si>
    <t>nov. de 2018</t>
  </si>
  <si>
    <t>Casa fundada por Chico Xavier. Fomos muito bem recebidos por um dos trabalhadores da casa que nos mostrou o centro e um interessante memorias que há em seu interior.</t>
  </si>
  <si>
    <t>Excelente acervo de livros espíritas !</t>
  </si>
  <si>
    <t>Conheci essa semana o centro espírita luiz gonzaga e tem muita coisa concervada da época de chico como alguns móveis e tem o museo dentro da casa como os livros originais que chico escreveu , cartas psicografadas do filme mães de chico e até uma uma rosa materializada. Emocionante !!</t>
  </si>
  <si>
    <t>danielcarneiro</t>
  </si>
  <si>
    <t>Eusébio, CE</t>
  </si>
  <si>
    <t>Lugar acolhedor,energia maravilhosa.</t>
  </si>
  <si>
    <t>nov. de 2017 • Solo</t>
  </si>
  <si>
    <t>Estive pernoitando em Confins e aproveitei para assistir uma palestra no Centro fundado pelo Chico na casa onde ele nasceu.A palestra foi maravilhosa, fui muito bem acolhido e com certeza voltarei la.em Pedro leopoldo ha outro lugares com a mesma conexao com Chico Xavier e a doutrina espirita como a casa de chico e a fazenda modelo.Pertinho do aeroporto..15 min..um passeio qur vale a pena para quem é seguidor ou simpatizante do espiritismo.</t>
  </si>
  <si>
    <t>118 contribuições</t>
  </si>
  <si>
    <t>Indispensável no Roteiro de Luz Chico Xavier</t>
  </si>
  <si>
    <t>Para quem vai à Pedro Leopoldo é indispensável fazer uma visita ao Centro Espírita Luiz Gonzaga, que tem mais de 90 anos e foi fundado pelo próprio Chico na casa que foi o local onde ele nasceu em 1910.Fomos numa manhã de sábado e tinha um feirinha na rua que o Centro fica localizado, resultado, não deu para tirar fotos externas como queríamos, porém mesmo assim vale muito a pena a visita,Os servidores da Casa são bem educados e prestativos. Nela tb funciona uma livraria espírita onde pode ser adquirido livros com preço bem em conta.</t>
  </si>
  <si>
    <t>chrisbritob</t>
  </si>
  <si>
    <t>El Calafate, Argentina</t>
  </si>
  <si>
    <t>Energia ímpar</t>
  </si>
  <si>
    <t>jul. de 2017 • Casal</t>
  </si>
  <si>
    <t>Estive no Congresso Espirita e adorei.Lugar acolhedor.Energia do bem impregnada em todo o local! O Congresso foi lindo! Muitas palestras edificantes e apresentações musicais.</t>
  </si>
  <si>
    <t>287 contribuições</t>
  </si>
  <si>
    <t>Diego F</t>
  </si>
  <si>
    <t>para quem estuda a historia do Chico Chavier e do espiritismo</t>
  </si>
  <si>
    <t>jan. de 2017 • Amigos</t>
  </si>
  <si>
    <t>a casa e o memorial do Chico Chavier é bom pra quem estuda a historia do Chico Chavier e do espiritismo, a casa tem o acervo dele livros,fotos,local esta como ele atendia as pessoas.</t>
  </si>
  <si>
    <t>Gente boa</t>
  </si>
  <si>
    <t>mar. de 2016 • Solo</t>
  </si>
  <si>
    <t>Para quem acredita no espiritismo ou pelo menos tem uma curiosidade sincera vale a pena de visitar. O pessoal è gente muito boa, ótimas orações, um lugar de paz e reflexão e meditação</t>
  </si>
  <si>
    <t>Paz e oração</t>
  </si>
  <si>
    <t>Local onde se sente em paz, onde se renova as forças e reponho as energias, onde se tem uma palavra amigas e muitas pessoas do bem.</t>
  </si>
  <si>
    <t>Busca de conforto Espiritual.</t>
  </si>
  <si>
    <t>nov. de 2015</t>
  </si>
  <si>
    <t>Aqui é um pedacinho do céu para quem busca paz espiritual e conforto na alma. Quando viajar não se esqueça de fazer uma visita.</t>
  </si>
  <si>
    <t>Breno W</t>
  </si>
  <si>
    <t>Pessoal de um imenso coração que busca ajudar o próximo</t>
  </si>
  <si>
    <t>Ótima casa que visa ajudar o próximo e fazer o bem através do espiritismo. Sobrevive de ajudas e da venda de livros</t>
  </si>
  <si>
    <t>30 contribuições</t>
  </si>
  <si>
    <t>Energia incrível!</t>
  </si>
  <si>
    <t>Lugar simples, recepcionado por pessoas que conheceram e nos contam maravilhosas histórias do Chico.... Um pequeno memorial com fotos e objetos, vale a pena conhecer. A história dessa personalidade incrível!</t>
  </si>
  <si>
    <t>PARADA OBRIGATÓRIA!</t>
  </si>
  <si>
    <t>Impossível ir a Pedro Leopoldo e não visitar o Centro Espírita Luiz Gonzaga. Lá, nos recepcionam sempre a Célia Diniz e a Tia Marta (sobrinha do Chico Xavier). Duas almas generosas que nos abraçam com o carinho e amor que o Chico nos daria se ainda estivesse entre nós.</t>
  </si>
  <si>
    <t>Uma experiencia indescritível.</t>
  </si>
  <si>
    <t>Fomos a um evento de psicografia, o lugar tem uma energia absurda, podemos sentir os pontos onde os trabalhadores agem, não da para descrever tamanhã energia, somente pisando no local para sentir.</t>
  </si>
  <si>
    <t>Fundado por Chico Xavier</t>
  </si>
  <si>
    <t>O Centro Espírita Luiz Gonzaga teve sua sede fundada em 1950 por Chico Xavier, por isso muitas pessoas confundem o Centro com a Casa de Chico Xavier.Há reuniões públicas de segunda-feira à sexta-feira sempre as 20:00 horas.</t>
  </si>
  <si>
    <t>DeniseSRafaelMF</t>
  </si>
  <si>
    <t>22 contribuições</t>
  </si>
  <si>
    <t>5 de 5 círculos</t>
  </si>
  <si>
    <t>Cinema</t>
  </si>
  <si>
    <t>Natalia A</t>
  </si>
  <si>
    <t>4 de 5 círculos</t>
  </si>
  <si>
    <t>cinema</t>
  </si>
  <si>
    <t>3 de 5 círculos</t>
  </si>
  <si>
    <t>Diversão</t>
  </si>
  <si>
    <t>Rogério J</t>
  </si>
  <si>
    <t>Cine familia</t>
  </si>
  <si>
    <t>Cinema para toda família!</t>
  </si>
  <si>
    <t>Warley_alvesss</t>
  </si>
  <si>
    <t>48 contribuições</t>
  </si>
  <si>
    <t>Cinema da cidade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</si>
</sst>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name val="Carlito"/>
    </font>
    <font>
      <sz val="11"/>
      <color theme="1"/>
      <name val="Calibri"/>
      <family val="2"/>
      <scheme val="minor"/>
    </font>
    <font>
      <b/>
      <sz val="16"/>
      <color rgb="FFFFFFFF"/>
      <name val="Carlito"/>
    </font>
    <font>
      <b/>
      <sz val="11"/>
      <color rgb="FF1F4E79"/>
      <name val="Carlito"/>
    </font>
    <font>
      <b/>
      <sz val="11"/>
      <color rgb="FFFFFFFF"/>
      <name val="Carlito"/>
    </font>
    <font>
      <b/>
      <sz val="11"/>
      <name val="Carlito"/>
    </font>
    <font>
      <i/>
      <sz val="11"/>
      <color rgb="FF666666"/>
      <name val="Carlito"/>
    </font>
    <font>
      <b/>
      <sz val="11"/>
      <name val="Calibri"/>
    </font>
    <font>
      <b/>
      <sz val="11"/>
      <color rgb="FF000000"/>
      <name val="Aptos Narrow"/>
      <family val="2"/>
    </font>
    <font>
      <sz val="11"/>
      <color rgb="FF000000"/>
      <name val="Aptos Narrow"/>
      <family val="2"/>
    </font>
  </fonts>
  <fills count="7">
    <fill>
      <patternFill patternType="none"/>
    </fill>
    <fill>
      <patternFill patternType="gray125"/>
    </fill>
    <fill>
      <patternFill patternType="solid">
        <fgColor rgb="FF1F4E79"/>
      </patternFill>
    </fill>
    <fill>
      <patternFill patternType="solid">
        <fgColor rgb="FFD9EAF7"/>
      </patternFill>
    </fill>
    <fill>
      <patternFill patternType="solid">
        <fgColor rgb="FFF2F2F2"/>
      </patternFill>
    </fill>
    <fill>
      <patternFill patternType="solid">
        <fgColor rgb="FFD9EAF7"/>
        <bgColor rgb="FFD9EAF7"/>
      </patternFill>
    </fill>
    <fill>
      <patternFill patternType="solid">
        <fgColor rgb="FFD9EAF7"/>
        <bgColor rgb="FF000000"/>
      </patternFill>
    </fill>
  </fills>
  <borders count="2">
    <border>
      <left/>
      <right/>
      <top/>
      <bottom/>
      <diagonal/>
    </border>
    <border>
      <left/>
      <right/>
      <top/>
      <bottom/>
      <diagonal/>
    </border>
  </borders>
  <cellStyleXfs count="2">
    <xf numFmtId="0" fontId="0" fillId="0" borderId="0"/>
    <xf numFmtId="0" fontId="1" fillId="0" borderId="1"/>
  </cellStyleXfs>
  <cellXfs count="17">
    <xf numFmtId="0" fontId="0" fillId="0" borderId="0" xfId="0"/>
    <xf numFmtId="0" fontId="3" fillId="3" borderId="0" xfId="0" applyNumberFormat="1" applyFont="1" applyFill="1" applyBorder="1" applyAlignment="1">
      <alignment horizontal="center" vertical="center" wrapText="1"/>
    </xf>
    <xf numFmtId="0" fontId="0" fillId="0" borderId="0" xfId="0" applyNumberFormat="1" applyFont="1" applyFill="1" applyBorder="1" applyAlignment="1">
      <alignment vertical="center" wrapText="1"/>
    </xf>
    <xf numFmtId="0" fontId="0" fillId="0" borderId="0" xfId="0" applyNumberFormat="1" applyFont="1" applyFill="1" applyBorder="1" applyAlignment="1">
      <alignment horizontal="center" vertical="center" wrapText="1"/>
    </xf>
    <xf numFmtId="164" fontId="0" fillId="0" borderId="0" xfId="0" applyNumberFormat="1" applyFont="1" applyFill="1" applyBorder="1" applyAlignment="1">
      <alignment horizontal="center" vertical="center" wrapText="1"/>
    </xf>
    <xf numFmtId="0" fontId="5" fillId="4" borderId="0" xfId="0" applyNumberFormat="1" applyFont="1" applyFill="1" applyBorder="1"/>
    <xf numFmtId="0" fontId="0" fillId="0" borderId="0" xfId="0" applyNumberFormat="1" applyFont="1" applyFill="1" applyBorder="1" applyAlignment="1">
      <alignment horizontal="center"/>
    </xf>
    <xf numFmtId="164" fontId="0" fillId="0" borderId="0" xfId="0" applyNumberFormat="1" applyFont="1" applyFill="1" applyBorder="1" applyAlignment="1">
      <alignment horizontal="center"/>
    </xf>
    <xf numFmtId="0" fontId="2" fillId="2" borderId="0" xfId="0" applyNumberFormat="1" applyFont="1" applyFill="1" applyBorder="1" applyAlignment="1">
      <alignment horizontal="center" vertical="center"/>
    </xf>
    <xf numFmtId="0" fontId="0" fillId="0" borderId="0" xfId="0"/>
    <xf numFmtId="0" fontId="4" fillId="2" borderId="0" xfId="0" applyNumberFormat="1" applyFont="1" applyFill="1" applyBorder="1" applyAlignment="1">
      <alignment horizontal="center"/>
    </xf>
    <xf numFmtId="0" fontId="6" fillId="0" borderId="0" xfId="0" applyNumberFormat="1" applyFont="1" applyFill="1" applyBorder="1" applyAlignment="1">
      <alignment wrapText="1"/>
    </xf>
    <xf numFmtId="0" fontId="1" fillId="0" borderId="1" xfId="1"/>
    <xf numFmtId="0" fontId="7" fillId="5" borderId="1" xfId="1" applyFont="1" applyFill="1"/>
    <xf numFmtId="0" fontId="1" fillId="0" borderId="1" xfId="1"/>
    <xf numFmtId="0" fontId="8" fillId="6" borderId="1" xfId="0" applyFont="1" applyFill="1" applyBorder="1"/>
    <xf numFmtId="0" fontId="9" fillId="0" borderId="1" xfId="0" applyFont="1" applyBorder="1"/>
  </cellXfs>
  <cellStyles count="2">
    <cellStyle name="Normal" xfId="0" builtinId="0"/>
    <cellStyle name="Normal 2" xfId="1" xr:uid="{C750D880-B7F4-4CCC-83AF-72042F695F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barChart>
        <c:barDir val="bar"/>
        <c:grouping val="clustered"/>
        <c:varyColors val="0"/>
        <c:ser>
          <c:idx val="0"/>
          <c:order val="0"/>
          <c:tx>
            <c:v>Avaliação</c:v>
          </c:tx>
          <c:invertIfNegative val="1"/>
          <c:cat>
            <c:strRef>
              <c:f>'Pontos Turísticos'!$B$3:$B$9</c:f>
              <c:strCache>
                <c:ptCount val="7"/>
                <c:pt idx="0">
                  <c:v>Casa Chico Xavier</c:v>
                </c:pt>
                <c:pt idx="1">
                  <c:v>Gruta do Baú</c:v>
                </c:pt>
                <c:pt idx="2">
                  <c:v>Cachoeira Do Urubu</c:v>
                </c:pt>
                <c:pt idx="3">
                  <c:v>Centro Espírita Luiz Gonzaga</c:v>
                </c:pt>
                <c:pt idx="4">
                  <c:v>Casa Fernão Dias</c:v>
                </c:pt>
                <c:pt idx="5">
                  <c:v>Lapa do Antão</c:v>
                </c:pt>
                <c:pt idx="6">
                  <c:v>Cine Marajá</c:v>
                </c:pt>
              </c:strCache>
            </c:strRef>
          </c:cat>
          <c:val>
            <c:numRef>
              <c:f>'Pontos Turísticos'!$D$3:$D$9</c:f>
              <c:numCache>
                <c:formatCode>0.0</c:formatCode>
                <c:ptCount val="7"/>
                <c:pt idx="0">
                  <c:v>4.5999999999999996</c:v>
                </c:pt>
                <c:pt idx="1">
                  <c:v>4.8</c:v>
                </c:pt>
                <c:pt idx="2">
                  <c:v>3.3</c:v>
                </c:pt>
                <c:pt idx="3">
                  <c:v>4.7</c:v>
                </c:pt>
                <c:pt idx="4">
                  <c:v>4</c:v>
                </c:pt>
                <c:pt idx="5">
                  <c:v>5</c:v>
                </c:pt>
                <c:pt idx="6">
                  <c:v>4</c:v>
                </c:pt>
              </c:numCache>
            </c:numRef>
          </c:val>
          <c:extLst>
            <c:ext xmlns:c16="http://schemas.microsoft.com/office/drawing/2014/chart" uri="{C3380CC4-5D6E-409C-BE32-E72D297353CC}">
              <c16:uniqueId val="{00000000-7AA1-4FF3-9159-252CCE9AB99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b"/>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7</xdr:row>
      <xdr:rowOff>0</xdr:rowOff>
    </xdr:from>
    <xdr:to>
      <xdr:col>14</xdr:col>
      <xdr:colOff>0</xdr:colOff>
      <xdr:row>24</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PontosTuristicos" displayName="TabelaPontosTuristicos" ref="A2:F9">
  <tableColumns count="6">
    <tableColumn id="1" xr3:uid="{00000000-0010-0000-0000-000001000000}" name="Posição"/>
    <tableColumn id="2" xr3:uid="{00000000-0010-0000-0000-000002000000}" name="Lugar"/>
    <tableColumn id="3" xr3:uid="{00000000-0010-0000-0000-000003000000}" name="Categoria"/>
    <tableColumn id="4" xr3:uid="{00000000-0010-0000-0000-000004000000}" name="Avaliação (em 5)"/>
    <tableColumn id="5" xr3:uid="{00000000-0010-0000-0000-000005000000}" name="Número de Avaliações"/>
    <tableColumn id="6" xr3:uid="{00000000-0010-0000-0000-000006000000}" name="Observaçõ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workbookViewId="0">
      <selection activeCell="F6" sqref="F6"/>
    </sheetView>
  </sheetViews>
  <sheetFormatPr defaultRowHeight="13.8"/>
  <cols>
    <col min="1" max="1" width="10" customWidth="1"/>
    <col min="2" max="2" width="28" customWidth="1"/>
    <col min="3" max="3" width="24" customWidth="1"/>
    <col min="4" max="4" width="16" customWidth="1"/>
    <col min="5" max="5" width="22" customWidth="1"/>
    <col min="6" max="6" width="36" customWidth="1"/>
    <col min="8" max="8" width="20.8984375" customWidth="1"/>
  </cols>
  <sheetData>
    <row r="1" spans="1:10" ht="24" customHeight="1">
      <c r="A1" s="8" t="s">
        <v>0</v>
      </c>
      <c r="B1" s="9"/>
      <c r="C1" s="9"/>
      <c r="D1" s="9"/>
      <c r="E1" s="9"/>
      <c r="F1" s="9"/>
    </row>
    <row r="2" spans="1:10">
      <c r="A2" s="1" t="s">
        <v>1</v>
      </c>
      <c r="B2" s="1" t="s">
        <v>2</v>
      </c>
      <c r="C2" s="1" t="s">
        <v>3</v>
      </c>
      <c r="D2" s="1" t="s">
        <v>4</v>
      </c>
      <c r="E2" s="1" t="s">
        <v>5</v>
      </c>
      <c r="F2" s="1" t="s">
        <v>6</v>
      </c>
      <c r="H2" s="10" t="s">
        <v>7</v>
      </c>
      <c r="I2" s="9"/>
      <c r="J2" s="9"/>
    </row>
    <row r="3" spans="1:10" ht="27.6">
      <c r="A3" s="3">
        <v>1</v>
      </c>
      <c r="B3" s="2" t="s">
        <v>8</v>
      </c>
      <c r="C3" s="2" t="s">
        <v>9</v>
      </c>
      <c r="D3" s="4">
        <v>4.5999999999999996</v>
      </c>
      <c r="E3" s="3">
        <v>65</v>
      </c>
      <c r="F3" s="2" t="s">
        <v>10</v>
      </c>
      <c r="H3" s="5" t="s">
        <v>11</v>
      </c>
      <c r="I3" s="6">
        <f>COUNTA(B3:B9)</f>
        <v>7</v>
      </c>
    </row>
    <row r="4" spans="1:10" ht="27.6">
      <c r="A4" s="3">
        <v>2</v>
      </c>
      <c r="B4" s="2" t="s">
        <v>12</v>
      </c>
      <c r="C4" s="2" t="s">
        <v>13</v>
      </c>
      <c r="D4" s="4">
        <v>4.8</v>
      </c>
      <c r="E4" s="3">
        <v>8</v>
      </c>
      <c r="F4" s="2" t="s">
        <v>10</v>
      </c>
      <c r="H4" s="5" t="s">
        <v>14</v>
      </c>
      <c r="I4" s="7">
        <f>MAX(D3:D9)</f>
        <v>5</v>
      </c>
    </row>
    <row r="5" spans="1:10" ht="27.6">
      <c r="A5" s="3">
        <v>3</v>
      </c>
      <c r="B5" s="2" t="s">
        <v>15</v>
      </c>
      <c r="C5" s="2" t="s">
        <v>16</v>
      </c>
      <c r="D5" s="4">
        <v>3.3</v>
      </c>
      <c r="E5" s="3">
        <v>7</v>
      </c>
      <c r="F5" s="2" t="s">
        <v>10</v>
      </c>
      <c r="H5" s="5" t="s">
        <v>17</v>
      </c>
      <c r="I5" s="7">
        <f>MIN(D3:D9)</f>
        <v>3.3</v>
      </c>
    </row>
    <row r="6" spans="1:10" ht="27.6">
      <c r="A6" s="3">
        <v>4</v>
      </c>
      <c r="B6" s="2" t="s">
        <v>18</v>
      </c>
      <c r="C6" s="2" t="s">
        <v>19</v>
      </c>
      <c r="D6" s="4">
        <v>4.7</v>
      </c>
      <c r="E6" s="3">
        <v>21</v>
      </c>
      <c r="F6" s="2" t="s">
        <v>10</v>
      </c>
      <c r="H6" s="5" t="s">
        <v>20</v>
      </c>
      <c r="I6" s="7">
        <f>AVERAGE(D3:D9)</f>
        <v>4.3428571428571425</v>
      </c>
    </row>
    <row r="7" spans="1:10" ht="27.6">
      <c r="A7" s="3">
        <v>5</v>
      </c>
      <c r="B7" s="2" t="s">
        <v>21</v>
      </c>
      <c r="C7" s="2" t="s">
        <v>19</v>
      </c>
      <c r="D7" s="4">
        <v>4</v>
      </c>
      <c r="E7" s="3">
        <v>4</v>
      </c>
      <c r="F7" s="2" t="s">
        <v>10</v>
      </c>
    </row>
    <row r="8" spans="1:10" ht="27.6">
      <c r="A8" s="3">
        <v>6</v>
      </c>
      <c r="B8" s="2" t="s">
        <v>22</v>
      </c>
      <c r="C8" s="2" t="s">
        <v>23</v>
      </c>
      <c r="D8" s="4">
        <v>5</v>
      </c>
      <c r="E8" s="3">
        <v>1</v>
      </c>
      <c r="F8" s="2" t="s">
        <v>10</v>
      </c>
    </row>
    <row r="9" spans="1:10" ht="27.6">
      <c r="A9" s="3">
        <v>7</v>
      </c>
      <c r="B9" s="2" t="s">
        <v>24</v>
      </c>
      <c r="C9" s="2" t="s">
        <v>25</v>
      </c>
      <c r="D9" s="4">
        <v>4</v>
      </c>
      <c r="E9" s="3">
        <v>6</v>
      </c>
      <c r="F9" s="2" t="s">
        <v>10</v>
      </c>
    </row>
    <row r="11" spans="1:10" ht="14.4">
      <c r="A11" s="11"/>
      <c r="B11" s="9"/>
      <c r="C11" s="9"/>
      <c r="D11" s="9"/>
      <c r="E11" s="9"/>
      <c r="F11" s="9"/>
    </row>
  </sheetData>
  <mergeCells count="3">
    <mergeCell ref="A1:F1"/>
    <mergeCell ref="H2:J2"/>
    <mergeCell ref="A11:F11"/>
  </mergeCells>
  <conditionalFormatting sqref="D3:D9">
    <cfRule type="colorScale" priority="1">
      <colorScale>
        <cfvo type="min"/>
        <cfvo type="percentile" val="50"/>
        <cfvo type="max"/>
        <color rgb="FFF4CCCC"/>
        <color rgb="FFFFF2CC"/>
        <color rgb="FFD9EAD3"/>
      </colorScale>
    </cfRule>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F9C4D-5EB4-49D1-AF87-E12BFF4FF559}">
  <dimension ref="A1:F80"/>
  <sheetViews>
    <sheetView workbookViewId="0">
      <selection activeCell="C3" sqref="C3"/>
    </sheetView>
  </sheetViews>
  <sheetFormatPr defaultRowHeight="13.8"/>
  <cols>
    <col min="1" max="1" width="17.19921875" bestFit="1" customWidth="1"/>
    <col min="2" max="2" width="21.69921875" bestFit="1" customWidth="1"/>
    <col min="3" max="3" width="15.3984375" bestFit="1" customWidth="1"/>
    <col min="4" max="4" width="67.5" bestFit="1" customWidth="1"/>
    <col min="5" max="5" width="19" bestFit="1" customWidth="1"/>
    <col min="6" max="6" width="255.69921875" bestFit="1" customWidth="1"/>
  </cols>
  <sheetData>
    <row r="1" spans="1:6" ht="14.4">
      <c r="A1" s="13" t="s">
        <v>26</v>
      </c>
      <c r="B1" s="13" t="s">
        <v>27</v>
      </c>
      <c r="C1" s="13" t="s">
        <v>28</v>
      </c>
      <c r="D1" s="13" t="s">
        <v>29</v>
      </c>
      <c r="E1" s="13" t="s">
        <v>30</v>
      </c>
      <c r="F1" s="13" t="s">
        <v>31</v>
      </c>
    </row>
    <row r="2" spans="1:6" ht="14.4">
      <c r="A2" s="12" t="s">
        <v>32</v>
      </c>
      <c r="B2" s="12" t="s">
        <v>33</v>
      </c>
      <c r="C2" s="12" t="s">
        <v>34</v>
      </c>
      <c r="D2" s="12" t="s">
        <v>35</v>
      </c>
      <c r="E2" s="12" t="s">
        <v>36</v>
      </c>
      <c r="F2" s="12" t="s">
        <v>37</v>
      </c>
    </row>
    <row r="3" spans="1:6" ht="14.4">
      <c r="A3" s="12" t="s">
        <v>38</v>
      </c>
      <c r="C3" s="12" t="s">
        <v>39</v>
      </c>
      <c r="D3" s="12" t="s">
        <v>40</v>
      </c>
      <c r="E3" s="12" t="s">
        <v>41</v>
      </c>
      <c r="F3" s="12" t="s">
        <v>42</v>
      </c>
    </row>
    <row r="4" spans="1:6" ht="14.4">
      <c r="A4" s="12" t="s">
        <v>43</v>
      </c>
      <c r="C4" s="12" t="s">
        <v>44</v>
      </c>
      <c r="D4" s="12" t="s">
        <v>45</v>
      </c>
      <c r="E4" s="12" t="s">
        <v>46</v>
      </c>
      <c r="F4" s="12" t="s">
        <v>47</v>
      </c>
    </row>
    <row r="5" spans="1:6" ht="14.4">
      <c r="A5" s="12" t="s">
        <v>48</v>
      </c>
      <c r="B5" s="12" t="s">
        <v>49</v>
      </c>
      <c r="C5" s="12" t="s">
        <v>50</v>
      </c>
      <c r="D5" s="12" t="s">
        <v>51</v>
      </c>
      <c r="E5" s="12" t="s">
        <v>52</v>
      </c>
      <c r="F5" s="12" t="s">
        <v>53</v>
      </c>
    </row>
    <row r="6" spans="1:6" ht="14.4">
      <c r="A6" s="12" t="s">
        <v>48</v>
      </c>
      <c r="B6" s="12" t="s">
        <v>49</v>
      </c>
      <c r="C6" s="12" t="s">
        <v>44</v>
      </c>
      <c r="D6" s="12" t="s">
        <v>51</v>
      </c>
      <c r="E6" s="12" t="s">
        <v>52</v>
      </c>
      <c r="F6" s="12" t="s">
        <v>54</v>
      </c>
    </row>
    <row r="7" spans="1:6" ht="14.4">
      <c r="A7" s="12" t="s">
        <v>55</v>
      </c>
      <c r="B7" s="12" t="s">
        <v>56</v>
      </c>
      <c r="C7" s="12" t="s">
        <v>57</v>
      </c>
      <c r="D7" s="12" t="s">
        <v>58</v>
      </c>
      <c r="E7" s="12" t="s">
        <v>59</v>
      </c>
      <c r="F7" s="12" t="s">
        <v>60</v>
      </c>
    </row>
    <row r="8" spans="1:6" ht="14.4">
      <c r="A8" s="12" t="s">
        <v>61</v>
      </c>
      <c r="B8" s="12" t="s">
        <v>62</v>
      </c>
      <c r="C8" s="12" t="s">
        <v>63</v>
      </c>
      <c r="D8" s="12" t="s">
        <v>64</v>
      </c>
      <c r="E8" s="12" t="s">
        <v>65</v>
      </c>
      <c r="F8" s="12" t="s">
        <v>66</v>
      </c>
    </row>
    <row r="9" spans="1:6" ht="14.4">
      <c r="A9" s="12" t="s">
        <v>67</v>
      </c>
      <c r="C9" s="12" t="s">
        <v>68</v>
      </c>
      <c r="D9" s="12" t="s">
        <v>69</v>
      </c>
      <c r="E9" s="12" t="s">
        <v>70</v>
      </c>
      <c r="F9" s="12" t="s">
        <v>71</v>
      </c>
    </row>
    <row r="10" spans="1:6" ht="14.4">
      <c r="A10" s="12" t="s">
        <v>72</v>
      </c>
      <c r="C10" s="12" t="s">
        <v>39</v>
      </c>
      <c r="D10" s="12" t="s">
        <v>73</v>
      </c>
      <c r="E10" s="12" t="s">
        <v>74</v>
      </c>
      <c r="F10" s="12" t="s">
        <v>75</v>
      </c>
    </row>
    <row r="11" spans="1:6" ht="14.4">
      <c r="A11" s="12" t="s">
        <v>76</v>
      </c>
      <c r="B11" s="12" t="s">
        <v>77</v>
      </c>
      <c r="C11" s="12" t="s">
        <v>78</v>
      </c>
      <c r="D11" s="12" t="s">
        <v>79</v>
      </c>
      <c r="E11" s="12" t="s">
        <v>80</v>
      </c>
      <c r="F11" s="12" t="s">
        <v>81</v>
      </c>
    </row>
    <row r="12" spans="1:6" ht="14.4">
      <c r="A12" s="12" t="s">
        <v>82</v>
      </c>
      <c r="B12" s="12" t="s">
        <v>83</v>
      </c>
      <c r="C12" s="12" t="s">
        <v>84</v>
      </c>
      <c r="D12" s="12" t="s">
        <v>85</v>
      </c>
      <c r="E12" s="12" t="s">
        <v>86</v>
      </c>
      <c r="F12" s="12" t="s">
        <v>87</v>
      </c>
    </row>
    <row r="13" spans="1:6" ht="14.4">
      <c r="A13" s="12" t="s">
        <v>88</v>
      </c>
      <c r="B13" s="12" t="s">
        <v>89</v>
      </c>
      <c r="C13" s="12" t="s">
        <v>90</v>
      </c>
      <c r="D13" s="12" t="s">
        <v>91</v>
      </c>
      <c r="E13" s="12" t="s">
        <v>92</v>
      </c>
      <c r="F13" s="12" t="s">
        <v>93</v>
      </c>
    </row>
    <row r="14" spans="1:6" ht="14.4">
      <c r="A14" s="12" t="s">
        <v>94</v>
      </c>
      <c r="B14" s="12" t="s">
        <v>83</v>
      </c>
      <c r="C14" s="12" t="s">
        <v>95</v>
      </c>
      <c r="D14" s="12" t="s">
        <v>96</v>
      </c>
      <c r="E14" s="12" t="s">
        <v>97</v>
      </c>
      <c r="F14" s="12" t="s">
        <v>98</v>
      </c>
    </row>
    <row r="15" spans="1:6" ht="14.4">
      <c r="A15" s="12" t="s">
        <v>99</v>
      </c>
      <c r="B15" s="12" t="s">
        <v>100</v>
      </c>
      <c r="C15" s="12" t="s">
        <v>78</v>
      </c>
      <c r="D15" s="12" t="s">
        <v>101</v>
      </c>
      <c r="E15" s="12" t="s">
        <v>102</v>
      </c>
      <c r="F15" s="12" t="s">
        <v>103</v>
      </c>
    </row>
    <row r="16" spans="1:6" ht="14.4">
      <c r="A16" s="12" t="s">
        <v>104</v>
      </c>
      <c r="B16" s="12" t="s">
        <v>105</v>
      </c>
      <c r="C16" s="12" t="s">
        <v>106</v>
      </c>
      <c r="D16" s="12" t="s">
        <v>107</v>
      </c>
      <c r="E16" s="12" t="s">
        <v>108</v>
      </c>
      <c r="F16" s="12" t="s">
        <v>109</v>
      </c>
    </row>
    <row r="17" spans="1:6" ht="14.4">
      <c r="A17" s="12" t="s">
        <v>110</v>
      </c>
      <c r="B17" s="12" t="s">
        <v>111</v>
      </c>
      <c r="C17" s="12" t="s">
        <v>112</v>
      </c>
      <c r="D17" s="12" t="s">
        <v>113</v>
      </c>
      <c r="E17" s="12" t="s">
        <v>114</v>
      </c>
      <c r="F17" s="12" t="s">
        <v>115</v>
      </c>
    </row>
    <row r="18" spans="1:6" ht="14.4">
      <c r="A18" s="12" t="s">
        <v>116</v>
      </c>
      <c r="C18" s="12" t="s">
        <v>117</v>
      </c>
      <c r="D18" s="12" t="s">
        <v>118</v>
      </c>
      <c r="E18" s="12" t="s">
        <v>119</v>
      </c>
      <c r="F18" s="12" t="s">
        <v>120</v>
      </c>
    </row>
    <row r="19" spans="1:6" ht="14.4">
      <c r="A19" s="12" t="s">
        <v>121</v>
      </c>
      <c r="B19" s="12" t="s">
        <v>122</v>
      </c>
      <c r="C19" s="12" t="s">
        <v>57</v>
      </c>
      <c r="D19" s="12" t="s">
        <v>123</v>
      </c>
      <c r="E19" s="12" t="s">
        <v>124</v>
      </c>
      <c r="F19" s="12" t="s">
        <v>125</v>
      </c>
    </row>
    <row r="20" spans="1:6" ht="14.4">
      <c r="A20" s="12" t="s">
        <v>126</v>
      </c>
      <c r="B20" s="12" t="s">
        <v>83</v>
      </c>
      <c r="C20" s="12" t="s">
        <v>127</v>
      </c>
      <c r="D20" s="12" t="s">
        <v>128</v>
      </c>
      <c r="E20" s="12" t="s">
        <v>129</v>
      </c>
      <c r="F20" s="12" t="s">
        <v>130</v>
      </c>
    </row>
    <row r="21" spans="1:6" ht="14.4">
      <c r="A21" s="12" t="s">
        <v>131</v>
      </c>
      <c r="B21" s="12" t="s">
        <v>83</v>
      </c>
      <c r="C21" s="12" t="s">
        <v>132</v>
      </c>
      <c r="D21" s="12" t="s">
        <v>133</v>
      </c>
      <c r="E21" s="12" t="s">
        <v>134</v>
      </c>
      <c r="F21" s="12" t="s">
        <v>135</v>
      </c>
    </row>
    <row r="22" spans="1:6" ht="14.4">
      <c r="A22" s="12" t="s">
        <v>136</v>
      </c>
      <c r="C22" s="12" t="s">
        <v>137</v>
      </c>
      <c r="D22" s="12" t="s">
        <v>138</v>
      </c>
      <c r="E22" s="12" t="s">
        <v>139</v>
      </c>
      <c r="F22" s="12" t="s">
        <v>140</v>
      </c>
    </row>
    <row r="23" spans="1:6" ht="14.4">
      <c r="A23" s="12" t="s">
        <v>141</v>
      </c>
      <c r="B23" s="12" t="s">
        <v>83</v>
      </c>
      <c r="C23" s="12" t="s">
        <v>142</v>
      </c>
      <c r="D23" s="12" t="s">
        <v>143</v>
      </c>
      <c r="E23" s="12" t="s">
        <v>144</v>
      </c>
      <c r="F23" s="12" t="s">
        <v>145</v>
      </c>
    </row>
    <row r="24" spans="1:6" ht="14.4">
      <c r="A24" s="12" t="s">
        <v>146</v>
      </c>
      <c r="B24" s="12" t="s">
        <v>77</v>
      </c>
      <c r="C24" s="12" t="s">
        <v>147</v>
      </c>
      <c r="D24" s="12" t="s">
        <v>148</v>
      </c>
      <c r="E24" s="12" t="s">
        <v>149</v>
      </c>
      <c r="F24" s="12" t="s">
        <v>150</v>
      </c>
    </row>
    <row r="25" spans="1:6" ht="14.4">
      <c r="A25" s="12" t="s">
        <v>151</v>
      </c>
      <c r="C25" s="12" t="s">
        <v>152</v>
      </c>
      <c r="D25" s="12" t="s">
        <v>153</v>
      </c>
      <c r="E25" s="12" t="s">
        <v>154</v>
      </c>
      <c r="F25" s="12" t="s">
        <v>155</v>
      </c>
    </row>
    <row r="26" spans="1:6" ht="14.4">
      <c r="A26" s="12" t="s">
        <v>156</v>
      </c>
      <c r="C26" s="12" t="s">
        <v>157</v>
      </c>
      <c r="D26" s="12" t="s">
        <v>158</v>
      </c>
      <c r="E26" s="12" t="s">
        <v>154</v>
      </c>
      <c r="F26" s="12" t="s">
        <v>159</v>
      </c>
    </row>
    <row r="27" spans="1:6" ht="14.4">
      <c r="A27" s="12" t="s">
        <v>160</v>
      </c>
      <c r="B27" s="12" t="s">
        <v>161</v>
      </c>
      <c r="C27" s="12" t="s">
        <v>162</v>
      </c>
      <c r="D27" s="12" t="s">
        <v>163</v>
      </c>
      <c r="E27" s="12" t="s">
        <v>154</v>
      </c>
      <c r="F27" s="12" t="s">
        <v>164</v>
      </c>
    </row>
    <row r="28" spans="1:6" ht="14.4">
      <c r="A28" s="12" t="s">
        <v>165</v>
      </c>
      <c r="B28" s="12" t="s">
        <v>166</v>
      </c>
      <c r="C28" s="12" t="s">
        <v>167</v>
      </c>
      <c r="D28" s="12" t="s">
        <v>168</v>
      </c>
      <c r="E28" s="12" t="s">
        <v>169</v>
      </c>
      <c r="F28" s="12" t="s">
        <v>170</v>
      </c>
    </row>
    <row r="29" spans="1:6" ht="14.4">
      <c r="A29" s="12" t="s">
        <v>171</v>
      </c>
      <c r="C29" s="12" t="s">
        <v>142</v>
      </c>
      <c r="D29" s="12" t="s">
        <v>172</v>
      </c>
      <c r="E29" s="12" t="s">
        <v>173</v>
      </c>
      <c r="F29" s="12" t="s">
        <v>174</v>
      </c>
    </row>
    <row r="30" spans="1:6" ht="14.4">
      <c r="A30" s="12" t="s">
        <v>175</v>
      </c>
      <c r="B30" s="12" t="s">
        <v>49</v>
      </c>
      <c r="C30" s="12" t="s">
        <v>39</v>
      </c>
      <c r="D30" s="12" t="s">
        <v>176</v>
      </c>
      <c r="E30" s="12" t="s">
        <v>177</v>
      </c>
      <c r="F30" s="12" t="s">
        <v>178</v>
      </c>
    </row>
    <row r="31" spans="1:6" ht="14.4">
      <c r="A31" s="12" t="s">
        <v>179</v>
      </c>
      <c r="B31" s="12" t="s">
        <v>180</v>
      </c>
      <c r="C31" s="12" t="s">
        <v>181</v>
      </c>
      <c r="D31" s="12" t="s">
        <v>182</v>
      </c>
      <c r="E31" s="12" t="s">
        <v>183</v>
      </c>
      <c r="F31" s="12" t="s">
        <v>184</v>
      </c>
    </row>
    <row r="32" spans="1:6" ht="14.4">
      <c r="A32" s="12" t="s">
        <v>185</v>
      </c>
      <c r="B32" s="12" t="s">
        <v>186</v>
      </c>
      <c r="C32" s="12" t="s">
        <v>187</v>
      </c>
      <c r="D32" s="12" t="s">
        <v>188</v>
      </c>
      <c r="E32" s="12" t="s">
        <v>189</v>
      </c>
      <c r="F32" s="12" t="s">
        <v>190</v>
      </c>
    </row>
    <row r="33" spans="1:6" ht="14.4">
      <c r="A33" s="12" t="s">
        <v>191</v>
      </c>
      <c r="B33" s="12" t="s">
        <v>83</v>
      </c>
      <c r="C33" s="12" t="s">
        <v>132</v>
      </c>
      <c r="D33" s="12" t="s">
        <v>192</v>
      </c>
      <c r="E33" s="12" t="s">
        <v>193</v>
      </c>
      <c r="F33" s="12" t="s">
        <v>194</v>
      </c>
    </row>
    <row r="34" spans="1:6" ht="14.4">
      <c r="A34" s="12" t="s">
        <v>195</v>
      </c>
      <c r="B34" s="12" t="s">
        <v>196</v>
      </c>
      <c r="C34" s="12" t="s">
        <v>197</v>
      </c>
      <c r="D34" s="12" t="s">
        <v>198</v>
      </c>
      <c r="E34" s="12" t="s">
        <v>199</v>
      </c>
      <c r="F34" s="12" t="s">
        <v>200</v>
      </c>
    </row>
    <row r="35" spans="1:6" ht="14.4">
      <c r="A35" s="12" t="s">
        <v>201</v>
      </c>
      <c r="B35" s="12" t="s">
        <v>111</v>
      </c>
      <c r="C35" s="12" t="s">
        <v>202</v>
      </c>
      <c r="D35" s="12" t="s">
        <v>203</v>
      </c>
      <c r="E35" s="12" t="s">
        <v>199</v>
      </c>
      <c r="F35" s="12" t="s">
        <v>204</v>
      </c>
    </row>
    <row r="36" spans="1:6" ht="14.4">
      <c r="A36" s="12" t="s">
        <v>205</v>
      </c>
      <c r="B36" s="12" t="s">
        <v>83</v>
      </c>
      <c r="C36" s="12" t="s">
        <v>206</v>
      </c>
      <c r="D36" s="12" t="s">
        <v>207</v>
      </c>
      <c r="E36" s="12" t="s">
        <v>208</v>
      </c>
      <c r="F36" s="12" t="s">
        <v>209</v>
      </c>
    </row>
    <row r="37" spans="1:6" ht="14.4">
      <c r="A37" s="12" t="s">
        <v>210</v>
      </c>
      <c r="B37" s="12" t="s">
        <v>166</v>
      </c>
      <c r="C37" s="12" t="s">
        <v>211</v>
      </c>
      <c r="D37" s="12" t="s">
        <v>212</v>
      </c>
      <c r="E37" s="12" t="s">
        <v>213</v>
      </c>
      <c r="F37" s="12" t="s">
        <v>214</v>
      </c>
    </row>
    <row r="38" spans="1:6" ht="14.4">
      <c r="A38" s="12" t="s">
        <v>215</v>
      </c>
      <c r="B38" s="12" t="s">
        <v>216</v>
      </c>
      <c r="C38" s="12" t="s">
        <v>217</v>
      </c>
      <c r="D38" s="12" t="s">
        <v>218</v>
      </c>
      <c r="E38" s="12" t="s">
        <v>219</v>
      </c>
      <c r="F38" s="12" t="s">
        <v>220</v>
      </c>
    </row>
    <row r="39" spans="1:6" ht="14.4">
      <c r="A39" s="12" t="s">
        <v>221</v>
      </c>
      <c r="B39" s="12" t="s">
        <v>83</v>
      </c>
      <c r="C39" s="12" t="s">
        <v>222</v>
      </c>
      <c r="D39" s="12" t="s">
        <v>223</v>
      </c>
      <c r="E39" s="12" t="s">
        <v>224</v>
      </c>
      <c r="F39" s="12" t="s">
        <v>225</v>
      </c>
    </row>
    <row r="40" spans="1:6" ht="14.4">
      <c r="A40" s="12" t="s">
        <v>226</v>
      </c>
      <c r="B40" s="12" t="s">
        <v>161</v>
      </c>
      <c r="C40" s="12" t="s">
        <v>132</v>
      </c>
      <c r="D40" s="12" t="s">
        <v>73</v>
      </c>
      <c r="E40" s="12" t="s">
        <v>227</v>
      </c>
      <c r="F40" s="12" t="s">
        <v>228</v>
      </c>
    </row>
    <row r="41" spans="1:6" ht="14.4">
      <c r="A41" s="12" t="s">
        <v>229</v>
      </c>
      <c r="C41" s="12" t="s">
        <v>230</v>
      </c>
      <c r="D41" s="12" t="s">
        <v>231</v>
      </c>
      <c r="E41" s="12" t="s">
        <v>232</v>
      </c>
      <c r="F41" s="12" t="s">
        <v>233</v>
      </c>
    </row>
    <row r="42" spans="1:6" ht="14.4">
      <c r="A42" s="12" t="s">
        <v>234</v>
      </c>
      <c r="B42" s="12" t="s">
        <v>83</v>
      </c>
      <c r="C42" s="12" t="s">
        <v>235</v>
      </c>
      <c r="D42" s="12" t="s">
        <v>236</v>
      </c>
      <c r="E42" s="12" t="s">
        <v>237</v>
      </c>
      <c r="F42" s="12" t="s">
        <v>238</v>
      </c>
    </row>
    <row r="43" spans="1:6" ht="14.4">
      <c r="A43" s="12" t="s">
        <v>239</v>
      </c>
      <c r="B43" s="12" t="s">
        <v>166</v>
      </c>
      <c r="C43" s="12" t="s">
        <v>127</v>
      </c>
      <c r="D43" s="12" t="s">
        <v>240</v>
      </c>
      <c r="E43" s="12" t="s">
        <v>241</v>
      </c>
      <c r="F43" s="12" t="s">
        <v>242</v>
      </c>
    </row>
    <row r="44" spans="1:6" ht="14.4">
      <c r="A44" s="12" t="s">
        <v>243</v>
      </c>
      <c r="B44" s="12" t="s">
        <v>244</v>
      </c>
      <c r="C44" s="12" t="s">
        <v>245</v>
      </c>
      <c r="D44" s="12" t="s">
        <v>246</v>
      </c>
      <c r="E44" s="12" t="s">
        <v>247</v>
      </c>
      <c r="F44" s="12" t="s">
        <v>248</v>
      </c>
    </row>
    <row r="45" spans="1:6" ht="14.4">
      <c r="A45" s="12" t="s">
        <v>249</v>
      </c>
      <c r="C45" s="12" t="s">
        <v>250</v>
      </c>
      <c r="D45" s="12" t="s">
        <v>251</v>
      </c>
      <c r="E45" s="12" t="s">
        <v>252</v>
      </c>
      <c r="F45" s="12" t="s">
        <v>253</v>
      </c>
    </row>
    <row r="46" spans="1:6" ht="14.4">
      <c r="A46" s="12" t="s">
        <v>254</v>
      </c>
      <c r="C46" s="12" t="s">
        <v>255</v>
      </c>
      <c r="D46" s="12" t="s">
        <v>256</v>
      </c>
      <c r="E46" s="12" t="s">
        <v>257</v>
      </c>
      <c r="F46" s="12" t="s">
        <v>258</v>
      </c>
    </row>
    <row r="47" spans="1:6" ht="14.4">
      <c r="A47" s="12" t="s">
        <v>259</v>
      </c>
      <c r="C47" s="12" t="s">
        <v>57</v>
      </c>
      <c r="D47" s="12" t="s">
        <v>256</v>
      </c>
      <c r="E47" s="12" t="s">
        <v>260</v>
      </c>
      <c r="F47" s="12" t="s">
        <v>261</v>
      </c>
    </row>
    <row r="48" spans="1:6" ht="14.4">
      <c r="A48" s="12" t="s">
        <v>262</v>
      </c>
      <c r="B48" s="12" t="s">
        <v>263</v>
      </c>
      <c r="C48" s="12" t="s">
        <v>264</v>
      </c>
      <c r="D48" s="12" t="s">
        <v>265</v>
      </c>
      <c r="E48" s="12" t="s">
        <v>266</v>
      </c>
      <c r="F48" s="12" t="s">
        <v>267</v>
      </c>
    </row>
    <row r="49" spans="1:6" ht="14.4">
      <c r="A49" s="12" t="s">
        <v>268</v>
      </c>
      <c r="C49" s="12" t="s">
        <v>44</v>
      </c>
      <c r="D49" s="12" t="s">
        <v>269</v>
      </c>
      <c r="E49" s="12" t="s">
        <v>270</v>
      </c>
      <c r="F49" s="12" t="s">
        <v>271</v>
      </c>
    </row>
    <row r="50" spans="1:6" ht="14.4">
      <c r="A50" s="12" t="s">
        <v>272</v>
      </c>
      <c r="B50" s="12" t="s">
        <v>273</v>
      </c>
      <c r="C50" s="12" t="s">
        <v>274</v>
      </c>
      <c r="D50" s="12" t="s">
        <v>275</v>
      </c>
      <c r="E50" s="12" t="s">
        <v>276</v>
      </c>
      <c r="F50" s="12" t="s">
        <v>277</v>
      </c>
    </row>
    <row r="51" spans="1:6" ht="14.4">
      <c r="A51" s="12" t="s">
        <v>278</v>
      </c>
      <c r="C51" s="12" t="s">
        <v>132</v>
      </c>
      <c r="D51" s="12" t="s">
        <v>128</v>
      </c>
      <c r="E51" s="12" t="s">
        <v>279</v>
      </c>
      <c r="F51" s="12" t="s">
        <v>280</v>
      </c>
    </row>
    <row r="52" spans="1:6" ht="14.4">
      <c r="A52" s="12" t="s">
        <v>281</v>
      </c>
      <c r="B52" s="12" t="s">
        <v>83</v>
      </c>
      <c r="C52" s="12" t="s">
        <v>132</v>
      </c>
      <c r="D52" s="12" t="s">
        <v>282</v>
      </c>
      <c r="E52" s="12" t="s">
        <v>283</v>
      </c>
      <c r="F52" s="12" t="s">
        <v>284</v>
      </c>
    </row>
    <row r="53" spans="1:6" ht="14.4">
      <c r="A53" s="12" t="s">
        <v>285</v>
      </c>
      <c r="B53" s="12" t="s">
        <v>286</v>
      </c>
      <c r="C53" s="12" t="s">
        <v>142</v>
      </c>
      <c r="D53" s="12" t="s">
        <v>168</v>
      </c>
      <c r="E53" s="12" t="s">
        <v>257</v>
      </c>
      <c r="F53" s="12" t="s">
        <v>287</v>
      </c>
    </row>
    <row r="54" spans="1:6" ht="14.4">
      <c r="A54" s="12" t="s">
        <v>288</v>
      </c>
      <c r="B54" s="12" t="s">
        <v>289</v>
      </c>
      <c r="C54" s="12" t="s">
        <v>290</v>
      </c>
      <c r="D54" s="12" t="s">
        <v>291</v>
      </c>
      <c r="E54" s="12" t="s">
        <v>292</v>
      </c>
      <c r="F54" s="12" t="s">
        <v>293</v>
      </c>
    </row>
    <row r="55" spans="1:6" ht="14.4">
      <c r="A55" s="12" t="s">
        <v>294</v>
      </c>
      <c r="B55" s="12" t="s">
        <v>263</v>
      </c>
      <c r="C55" s="12" t="s">
        <v>295</v>
      </c>
      <c r="D55" s="12" t="s">
        <v>296</v>
      </c>
      <c r="E55" s="12" t="s">
        <v>297</v>
      </c>
      <c r="F55" s="12" t="s">
        <v>298</v>
      </c>
    </row>
    <row r="56" spans="1:6" ht="14.4">
      <c r="A56" s="12" t="s">
        <v>299</v>
      </c>
      <c r="B56" s="12" t="s">
        <v>83</v>
      </c>
      <c r="C56" s="12" t="s">
        <v>39</v>
      </c>
      <c r="D56" s="12" t="s">
        <v>300</v>
      </c>
      <c r="E56" s="12" t="s">
        <v>301</v>
      </c>
      <c r="F56" s="12" t="s">
        <v>302</v>
      </c>
    </row>
    <row r="57" spans="1:6" ht="14.4">
      <c r="A57" s="12" t="s">
        <v>303</v>
      </c>
      <c r="C57" s="12" t="s">
        <v>304</v>
      </c>
      <c r="D57" s="12" t="s">
        <v>305</v>
      </c>
      <c r="E57" s="12" t="s">
        <v>306</v>
      </c>
      <c r="F57" s="12" t="s">
        <v>307</v>
      </c>
    </row>
    <row r="58" spans="1:6" ht="14.4">
      <c r="A58" s="12" t="s">
        <v>308</v>
      </c>
      <c r="B58" s="12" t="s">
        <v>309</v>
      </c>
      <c r="C58" s="12" t="s">
        <v>310</v>
      </c>
      <c r="D58" s="12" t="s">
        <v>311</v>
      </c>
      <c r="E58" s="12" t="s">
        <v>312</v>
      </c>
      <c r="F58" s="12" t="s">
        <v>313</v>
      </c>
    </row>
    <row r="59" spans="1:6" ht="14.4">
      <c r="A59" s="12" t="s">
        <v>314</v>
      </c>
      <c r="B59" s="12" t="s">
        <v>263</v>
      </c>
      <c r="C59" s="12" t="s">
        <v>315</v>
      </c>
      <c r="D59" s="12" t="s">
        <v>316</v>
      </c>
      <c r="E59" s="12" t="s">
        <v>317</v>
      </c>
      <c r="F59" s="12" t="s">
        <v>318</v>
      </c>
    </row>
    <row r="60" spans="1:6" ht="14.4">
      <c r="A60" s="12" t="s">
        <v>262</v>
      </c>
      <c r="B60" s="12" t="s">
        <v>263</v>
      </c>
      <c r="C60" s="12" t="s">
        <v>264</v>
      </c>
      <c r="D60" s="12" t="s">
        <v>319</v>
      </c>
      <c r="E60" s="12" t="s">
        <v>317</v>
      </c>
      <c r="F60" s="12" t="s">
        <v>320</v>
      </c>
    </row>
    <row r="61" spans="1:6" ht="14.4">
      <c r="A61" s="12" t="s">
        <v>321</v>
      </c>
      <c r="B61" s="12" t="s">
        <v>166</v>
      </c>
      <c r="C61" s="12" t="s">
        <v>322</v>
      </c>
      <c r="D61" s="12" t="s">
        <v>323</v>
      </c>
      <c r="E61" s="12" t="s">
        <v>324</v>
      </c>
      <c r="F61" s="12" t="s">
        <v>325</v>
      </c>
    </row>
    <row r="62" spans="1:6" ht="14.4">
      <c r="A62" s="12" t="s">
        <v>326</v>
      </c>
      <c r="B62" s="12" t="s">
        <v>105</v>
      </c>
      <c r="C62" s="12" t="s">
        <v>327</v>
      </c>
      <c r="D62" s="12" t="s">
        <v>328</v>
      </c>
      <c r="E62" s="12" t="s">
        <v>329</v>
      </c>
      <c r="F62" s="12" t="s">
        <v>330</v>
      </c>
    </row>
    <row r="63" spans="1:6" ht="14.4">
      <c r="A63" s="12" t="s">
        <v>331</v>
      </c>
      <c r="C63" s="12" t="s">
        <v>332</v>
      </c>
      <c r="D63" s="12" t="s">
        <v>333</v>
      </c>
      <c r="E63" s="12" t="s">
        <v>334</v>
      </c>
      <c r="F63" s="12" t="s">
        <v>335</v>
      </c>
    </row>
    <row r="64" spans="1:6" ht="14.4">
      <c r="A64" s="12" t="s">
        <v>336</v>
      </c>
      <c r="C64" s="12" t="s">
        <v>337</v>
      </c>
      <c r="D64" s="12" t="s">
        <v>338</v>
      </c>
      <c r="E64" s="12" t="s">
        <v>339</v>
      </c>
      <c r="F64" s="12" t="s">
        <v>340</v>
      </c>
    </row>
    <row r="65" spans="1:6" ht="14.4">
      <c r="A65" s="12" t="s">
        <v>341</v>
      </c>
      <c r="B65" s="12" t="s">
        <v>77</v>
      </c>
      <c r="C65" s="12" t="s">
        <v>206</v>
      </c>
      <c r="D65" s="12" t="s">
        <v>8</v>
      </c>
      <c r="E65" s="12" t="s">
        <v>342</v>
      </c>
      <c r="F65" s="12" t="s">
        <v>343</v>
      </c>
    </row>
    <row r="66" spans="1:6" ht="14.4">
      <c r="A66" s="12" t="s">
        <v>344</v>
      </c>
      <c r="B66" s="12" t="s">
        <v>83</v>
      </c>
      <c r="C66" s="12" t="s">
        <v>57</v>
      </c>
      <c r="D66" s="12" t="s">
        <v>345</v>
      </c>
      <c r="E66" s="12" t="s">
        <v>346</v>
      </c>
      <c r="F66" s="12" t="s">
        <v>347</v>
      </c>
    </row>
    <row r="67" spans="1:6" ht="14.4">
      <c r="A67" s="12" t="s">
        <v>281</v>
      </c>
      <c r="B67" s="12" t="s">
        <v>83</v>
      </c>
      <c r="C67" s="12" t="s">
        <v>132</v>
      </c>
      <c r="D67" s="12" t="s">
        <v>282</v>
      </c>
      <c r="E67" s="12" t="s">
        <v>283</v>
      </c>
      <c r="F67" s="12" t="s">
        <v>284</v>
      </c>
    </row>
    <row r="68" spans="1:6" ht="14.4">
      <c r="A68" s="12" t="s">
        <v>285</v>
      </c>
      <c r="B68" s="12" t="s">
        <v>286</v>
      </c>
      <c r="C68" s="12" t="s">
        <v>142</v>
      </c>
      <c r="D68" s="12" t="s">
        <v>168</v>
      </c>
      <c r="E68" s="12" t="s">
        <v>257</v>
      </c>
      <c r="F68" s="12" t="s">
        <v>287</v>
      </c>
    </row>
    <row r="69" spans="1:6" ht="14.4">
      <c r="A69" s="12" t="s">
        <v>288</v>
      </c>
      <c r="B69" s="12" t="s">
        <v>289</v>
      </c>
      <c r="C69" s="12" t="s">
        <v>290</v>
      </c>
      <c r="D69" s="12" t="s">
        <v>291</v>
      </c>
      <c r="E69" s="12" t="s">
        <v>292</v>
      </c>
      <c r="F69" s="12" t="s">
        <v>293</v>
      </c>
    </row>
    <row r="70" spans="1:6" ht="14.4">
      <c r="A70" s="12" t="s">
        <v>294</v>
      </c>
      <c r="B70" s="12" t="s">
        <v>263</v>
      </c>
      <c r="C70" s="12" t="s">
        <v>295</v>
      </c>
      <c r="D70" s="12" t="s">
        <v>296</v>
      </c>
      <c r="E70" s="12" t="s">
        <v>297</v>
      </c>
      <c r="F70" s="12" t="s">
        <v>298</v>
      </c>
    </row>
    <row r="71" spans="1:6" ht="14.4">
      <c r="A71" s="12" t="s">
        <v>299</v>
      </c>
      <c r="B71" s="12" t="s">
        <v>83</v>
      </c>
      <c r="C71" s="12" t="s">
        <v>39</v>
      </c>
      <c r="D71" s="12" t="s">
        <v>300</v>
      </c>
      <c r="E71" s="12" t="s">
        <v>301</v>
      </c>
      <c r="F71" s="12" t="s">
        <v>302</v>
      </c>
    </row>
    <row r="72" spans="1:6" ht="14.4">
      <c r="A72" s="12" t="s">
        <v>303</v>
      </c>
      <c r="C72" s="12" t="s">
        <v>304</v>
      </c>
      <c r="D72" s="12" t="s">
        <v>305</v>
      </c>
      <c r="E72" s="12" t="s">
        <v>306</v>
      </c>
      <c r="F72" s="12" t="s">
        <v>307</v>
      </c>
    </row>
    <row r="73" spans="1:6" ht="14.4">
      <c r="A73" s="12" t="s">
        <v>308</v>
      </c>
      <c r="B73" s="12" t="s">
        <v>309</v>
      </c>
      <c r="C73" s="12" t="s">
        <v>310</v>
      </c>
      <c r="D73" s="12" t="s">
        <v>311</v>
      </c>
      <c r="E73" s="12" t="s">
        <v>312</v>
      </c>
      <c r="F73" s="12" t="s">
        <v>313</v>
      </c>
    </row>
    <row r="74" spans="1:6" ht="14.4">
      <c r="A74" s="12" t="s">
        <v>314</v>
      </c>
      <c r="B74" s="12" t="s">
        <v>263</v>
      </c>
      <c r="C74" s="12" t="s">
        <v>315</v>
      </c>
      <c r="D74" s="12" t="s">
        <v>316</v>
      </c>
      <c r="E74" s="12" t="s">
        <v>317</v>
      </c>
      <c r="F74" s="12" t="s">
        <v>318</v>
      </c>
    </row>
    <row r="75" spans="1:6" ht="14.4">
      <c r="A75" s="12" t="s">
        <v>262</v>
      </c>
      <c r="B75" s="12" t="s">
        <v>263</v>
      </c>
      <c r="C75" s="12" t="s">
        <v>264</v>
      </c>
      <c r="D75" s="12" t="s">
        <v>319</v>
      </c>
      <c r="E75" s="12" t="s">
        <v>317</v>
      </c>
      <c r="F75" s="12" t="s">
        <v>320</v>
      </c>
    </row>
    <row r="76" spans="1:6" ht="14.4">
      <c r="A76" s="12" t="s">
        <v>326</v>
      </c>
      <c r="B76" s="12" t="s">
        <v>105</v>
      </c>
      <c r="C76" s="12" t="s">
        <v>327</v>
      </c>
      <c r="D76" s="12" t="s">
        <v>328</v>
      </c>
      <c r="E76" s="12" t="s">
        <v>329</v>
      </c>
      <c r="F76" s="12" t="s">
        <v>330</v>
      </c>
    </row>
    <row r="77" spans="1:6" ht="14.4">
      <c r="A77" s="12" t="s">
        <v>331</v>
      </c>
      <c r="B77" s="12"/>
      <c r="C77" s="14" t="s">
        <v>332</v>
      </c>
      <c r="D77" s="12" t="s">
        <v>333</v>
      </c>
      <c r="E77" s="12" t="s">
        <v>334</v>
      </c>
      <c r="F77" s="12" t="s">
        <v>335</v>
      </c>
    </row>
    <row r="78" spans="1:6" ht="14.4">
      <c r="A78" s="12" t="s">
        <v>336</v>
      </c>
      <c r="B78" s="12"/>
      <c r="C78" s="12" t="s">
        <v>337</v>
      </c>
      <c r="D78" s="12" t="s">
        <v>338</v>
      </c>
      <c r="E78" s="12" t="s">
        <v>339</v>
      </c>
      <c r="F78" s="12" t="s">
        <v>340</v>
      </c>
    </row>
    <row r="79" spans="1:6" ht="14.4">
      <c r="A79" s="12" t="s">
        <v>341</v>
      </c>
      <c r="B79" s="12" t="s">
        <v>77</v>
      </c>
      <c r="C79" s="12" t="s">
        <v>206</v>
      </c>
      <c r="D79" s="12" t="s">
        <v>8</v>
      </c>
      <c r="E79" s="12" t="s">
        <v>342</v>
      </c>
      <c r="F79" s="12" t="s">
        <v>343</v>
      </c>
    </row>
    <row r="80" spans="1:6" ht="14.4">
      <c r="A80" s="12" t="s">
        <v>344</v>
      </c>
      <c r="B80" s="12" t="s">
        <v>83</v>
      </c>
      <c r="C80" s="12" t="s">
        <v>57</v>
      </c>
      <c r="D80" s="12" t="s">
        <v>345</v>
      </c>
      <c r="E80" s="12" t="s">
        <v>346</v>
      </c>
      <c r="F80" s="12" t="s">
        <v>347</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FA8FE-1B83-4CD9-A4F3-7EB680836C70}">
  <dimension ref="A1:G9"/>
  <sheetViews>
    <sheetView workbookViewId="0">
      <selection activeCell="E12" sqref="E12"/>
    </sheetView>
  </sheetViews>
  <sheetFormatPr defaultRowHeight="13.8"/>
  <cols>
    <col min="1" max="1" width="20.09765625" bestFit="1" customWidth="1"/>
    <col min="2" max="3" width="16.59765625" bestFit="1" customWidth="1"/>
    <col min="4" max="4" width="37.69921875" bestFit="1" customWidth="1"/>
    <col min="5" max="5" width="19.5" bestFit="1" customWidth="1"/>
    <col min="6" max="6" width="255.69921875" bestFit="1" customWidth="1"/>
    <col min="7" max="7" width="17.59765625" bestFit="1" customWidth="1"/>
  </cols>
  <sheetData>
    <row r="1" spans="1:7">
      <c r="A1" s="15" t="s">
        <v>26</v>
      </c>
      <c r="B1" s="15" t="s">
        <v>27</v>
      </c>
      <c r="C1" s="15" t="s">
        <v>28</v>
      </c>
      <c r="D1" s="15" t="s">
        <v>29</v>
      </c>
      <c r="E1" s="15" t="s">
        <v>30</v>
      </c>
      <c r="F1" s="15" t="s">
        <v>31</v>
      </c>
      <c r="G1" s="15"/>
    </row>
    <row r="2" spans="1:7">
      <c r="A2" s="16" t="s">
        <v>348</v>
      </c>
      <c r="B2" s="16" t="s">
        <v>166</v>
      </c>
      <c r="C2" s="16" t="s">
        <v>349</v>
      </c>
      <c r="D2" s="16" t="s">
        <v>350</v>
      </c>
      <c r="E2" s="16" t="s">
        <v>351</v>
      </c>
      <c r="F2" s="16" t="s">
        <v>352</v>
      </c>
      <c r="G2" s="16"/>
    </row>
    <row r="3" spans="1:7">
      <c r="A3" s="16" t="s">
        <v>353</v>
      </c>
      <c r="B3" s="16" t="s">
        <v>354</v>
      </c>
      <c r="C3" s="16" t="s">
        <v>355</v>
      </c>
      <c r="D3" s="16" t="s">
        <v>356</v>
      </c>
      <c r="E3" s="16" t="s">
        <v>357</v>
      </c>
      <c r="F3" s="16" t="s">
        <v>358</v>
      </c>
      <c r="G3" s="16"/>
    </row>
    <row r="4" spans="1:7">
      <c r="A4" s="16" t="s">
        <v>359</v>
      </c>
      <c r="B4" s="16" t="s">
        <v>360</v>
      </c>
      <c r="C4" s="16" t="s">
        <v>206</v>
      </c>
      <c r="D4" s="16" t="s">
        <v>361</v>
      </c>
      <c r="E4" s="16" t="s">
        <v>362</v>
      </c>
      <c r="F4" s="16" t="s">
        <v>363</v>
      </c>
      <c r="G4" s="16"/>
    </row>
    <row r="5" spans="1:7">
      <c r="A5" s="16" t="s">
        <v>364</v>
      </c>
      <c r="B5" s="16" t="s">
        <v>166</v>
      </c>
      <c r="C5" s="16" t="s">
        <v>365</v>
      </c>
      <c r="D5" s="16" t="s">
        <v>366</v>
      </c>
      <c r="E5" s="16" t="s">
        <v>367</v>
      </c>
      <c r="F5" s="16" t="s">
        <v>368</v>
      </c>
      <c r="G5" s="16"/>
    </row>
    <row r="6" spans="1:7">
      <c r="A6" s="16" t="s">
        <v>369</v>
      </c>
      <c r="C6" s="16" t="s">
        <v>132</v>
      </c>
      <c r="D6" s="16" t="s">
        <v>370</v>
      </c>
      <c r="E6" s="16" t="s">
        <v>371</v>
      </c>
      <c r="F6" s="16" t="s">
        <v>372</v>
      </c>
      <c r="G6" s="16"/>
    </row>
    <row r="7" spans="1:7">
      <c r="A7" s="16" t="s">
        <v>259</v>
      </c>
      <c r="B7" s="16" t="s">
        <v>166</v>
      </c>
      <c r="C7" s="16" t="s">
        <v>44</v>
      </c>
      <c r="D7" s="16" t="s">
        <v>373</v>
      </c>
      <c r="E7" s="16" t="s">
        <v>374</v>
      </c>
      <c r="F7" s="16" t="s">
        <v>375</v>
      </c>
      <c r="G7" s="16"/>
    </row>
    <row r="8" spans="1:7">
      <c r="A8" s="16" t="s">
        <v>376</v>
      </c>
      <c r="B8" s="16" t="s">
        <v>166</v>
      </c>
      <c r="C8" s="16" t="s">
        <v>377</v>
      </c>
      <c r="D8" s="16" t="s">
        <v>378</v>
      </c>
      <c r="E8" s="16" t="s">
        <v>379</v>
      </c>
      <c r="F8" s="16" t="s">
        <v>380</v>
      </c>
      <c r="G8" s="16"/>
    </row>
    <row r="9" spans="1:7">
      <c r="A9" s="16" t="s">
        <v>381</v>
      </c>
      <c r="B9" s="16" t="s">
        <v>166</v>
      </c>
      <c r="C9" s="16" t="s">
        <v>382</v>
      </c>
      <c r="D9" s="16" t="s">
        <v>383</v>
      </c>
      <c r="E9" s="16" t="s">
        <v>384</v>
      </c>
      <c r="F9" s="16" t="s">
        <v>385</v>
      </c>
      <c r="G9" s="16"/>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F57CD-3642-4E24-965C-3D53A1D5363B}">
  <dimension ref="A1:F8"/>
  <sheetViews>
    <sheetView workbookViewId="0">
      <selection activeCell="B15" sqref="B15"/>
    </sheetView>
  </sheetViews>
  <sheetFormatPr defaultRowHeight="13.8"/>
  <cols>
    <col min="1" max="1" width="12.296875" bestFit="1" customWidth="1"/>
    <col min="2" max="2" width="16.59765625" bestFit="1" customWidth="1"/>
    <col min="3" max="3" width="14.09765625" bestFit="1" customWidth="1"/>
    <col min="4" max="4" width="45.796875" bestFit="1" customWidth="1"/>
    <col min="5" max="5" width="19.19921875" bestFit="1" customWidth="1"/>
    <col min="6" max="6" width="255.69921875" bestFit="1" customWidth="1"/>
  </cols>
  <sheetData>
    <row r="1" spans="1:6">
      <c r="A1" s="15" t="s">
        <v>26</v>
      </c>
      <c r="B1" s="15" t="s">
        <v>27</v>
      </c>
      <c r="C1" s="15" t="s">
        <v>28</v>
      </c>
      <c r="D1" s="15" t="s">
        <v>29</v>
      </c>
      <c r="E1" s="15" t="s">
        <v>30</v>
      </c>
      <c r="F1" s="15" t="s">
        <v>31</v>
      </c>
    </row>
    <row r="2" spans="1:6">
      <c r="A2" s="16" t="s">
        <v>386</v>
      </c>
      <c r="B2" s="16" t="s">
        <v>166</v>
      </c>
      <c r="C2" s="16" t="s">
        <v>44</v>
      </c>
      <c r="D2" s="16" t="s">
        <v>387</v>
      </c>
      <c r="E2" s="16" t="s">
        <v>388</v>
      </c>
      <c r="F2" s="16" t="s">
        <v>389</v>
      </c>
    </row>
    <row r="3" spans="1:6">
      <c r="A3" s="16" t="s">
        <v>390</v>
      </c>
      <c r="C3" s="16" t="s">
        <v>44</v>
      </c>
      <c r="D3" s="16" t="s">
        <v>391</v>
      </c>
      <c r="E3" s="16" t="s">
        <v>392</v>
      </c>
      <c r="F3" s="16" t="s">
        <v>393</v>
      </c>
    </row>
    <row r="4" spans="1:6">
      <c r="A4" s="16" t="s">
        <v>394</v>
      </c>
      <c r="C4" s="16" t="s">
        <v>310</v>
      </c>
      <c r="D4" s="16" t="s">
        <v>395</v>
      </c>
      <c r="E4" s="16" t="s">
        <v>396</v>
      </c>
      <c r="F4" s="16" t="s">
        <v>397</v>
      </c>
    </row>
    <row r="5" spans="1:6">
      <c r="A5" s="16" t="s">
        <v>398</v>
      </c>
      <c r="C5" s="16" t="s">
        <v>39</v>
      </c>
      <c r="D5" s="16" t="s">
        <v>128</v>
      </c>
      <c r="E5" s="16" t="s">
        <v>399</v>
      </c>
      <c r="F5" s="16" t="s">
        <v>400</v>
      </c>
    </row>
    <row r="6" spans="1:6">
      <c r="A6" s="16" t="s">
        <v>401</v>
      </c>
      <c r="C6" s="16" t="s">
        <v>132</v>
      </c>
      <c r="D6" s="16" t="s">
        <v>402</v>
      </c>
      <c r="E6" s="16" t="s">
        <v>403</v>
      </c>
      <c r="F6" s="16" t="s">
        <v>404</v>
      </c>
    </row>
    <row r="7" spans="1:6">
      <c r="A7" s="16" t="s">
        <v>405</v>
      </c>
      <c r="C7" s="16" t="s">
        <v>44</v>
      </c>
      <c r="D7" s="16" t="s">
        <v>406</v>
      </c>
      <c r="E7" s="16" t="s">
        <v>407</v>
      </c>
      <c r="F7" s="16" t="s">
        <v>408</v>
      </c>
    </row>
    <row r="8" spans="1:6">
      <c r="A8" s="16" t="s">
        <v>409</v>
      </c>
      <c r="B8" s="16" t="s">
        <v>33</v>
      </c>
      <c r="C8" s="16" t="s">
        <v>410</v>
      </c>
      <c r="D8" s="16" t="s">
        <v>411</v>
      </c>
      <c r="E8" s="16" t="s">
        <v>412</v>
      </c>
      <c r="F8" s="16" t="s">
        <v>413</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1A8A-AF63-4CEB-823D-A79F2A1B390D}">
  <dimension ref="A1:F29"/>
  <sheetViews>
    <sheetView workbookViewId="0">
      <selection activeCell="B28" sqref="B28"/>
    </sheetView>
  </sheetViews>
  <sheetFormatPr defaultRowHeight="13.8"/>
  <cols>
    <col min="1" max="1" width="18.69921875" bestFit="1" customWidth="1"/>
    <col min="2" max="2" width="18.5" bestFit="1" customWidth="1"/>
    <col min="3" max="3" width="53.69921875" bestFit="1" customWidth="1"/>
    <col min="4" max="4" width="18.796875" bestFit="1" customWidth="1"/>
    <col min="5" max="5" width="255.69921875" bestFit="1" customWidth="1"/>
  </cols>
  <sheetData>
    <row r="1" spans="1:6">
      <c r="A1" s="15" t="s">
        <v>26</v>
      </c>
      <c r="B1" s="15" t="s">
        <v>27</v>
      </c>
      <c r="C1" s="15" t="s">
        <v>28</v>
      </c>
      <c r="D1" s="15" t="s">
        <v>29</v>
      </c>
      <c r="E1" s="15" t="s">
        <v>30</v>
      </c>
      <c r="F1" s="15" t="s">
        <v>31</v>
      </c>
    </row>
    <row r="2" spans="1:6">
      <c r="A2" s="16" t="s">
        <v>414</v>
      </c>
      <c r="B2" s="16"/>
      <c r="C2" s="16" t="s">
        <v>415</v>
      </c>
      <c r="D2" s="16" t="s">
        <v>416</v>
      </c>
      <c r="E2" s="16" t="s">
        <v>417</v>
      </c>
      <c r="F2" s="16"/>
    </row>
    <row r="3" spans="1:6">
      <c r="A3" s="16" t="s">
        <v>76</v>
      </c>
      <c r="B3" s="16" t="s">
        <v>77</v>
      </c>
      <c r="C3" s="16" t="s">
        <v>79</v>
      </c>
      <c r="D3" s="16" t="s">
        <v>80</v>
      </c>
      <c r="E3" s="16" t="s">
        <v>418</v>
      </c>
      <c r="F3" s="16" t="s">
        <v>78</v>
      </c>
    </row>
    <row r="4" spans="1:6">
      <c r="A4" s="16" t="s">
        <v>419</v>
      </c>
      <c r="B4" s="16" t="s">
        <v>33</v>
      </c>
      <c r="C4" s="16" t="s">
        <v>420</v>
      </c>
      <c r="D4" s="16" t="s">
        <v>421</v>
      </c>
      <c r="E4" s="16" t="s">
        <v>422</v>
      </c>
      <c r="F4" s="16" t="s">
        <v>423</v>
      </c>
    </row>
    <row r="5" spans="1:6">
      <c r="A5" s="16" t="s">
        <v>82</v>
      </c>
      <c r="B5" s="16" t="s">
        <v>83</v>
      </c>
      <c r="C5" s="16" t="s">
        <v>424</v>
      </c>
      <c r="D5" s="16" t="s">
        <v>425</v>
      </c>
      <c r="E5" s="16" t="s">
        <v>426</v>
      </c>
      <c r="F5" s="16" t="s">
        <v>84</v>
      </c>
    </row>
    <row r="6" spans="1:6">
      <c r="A6" s="16" t="s">
        <v>88</v>
      </c>
      <c r="B6" s="16" t="s">
        <v>89</v>
      </c>
      <c r="C6" s="16" t="s">
        <v>427</v>
      </c>
      <c r="D6" s="16" t="s">
        <v>92</v>
      </c>
      <c r="E6" s="16" t="s">
        <v>428</v>
      </c>
      <c r="F6" s="16" t="s">
        <v>90</v>
      </c>
    </row>
    <row r="7" spans="1:6">
      <c r="A7" s="16" t="s">
        <v>429</v>
      </c>
      <c r="B7" s="16" t="s">
        <v>430</v>
      </c>
      <c r="C7" s="16" t="s">
        <v>431</v>
      </c>
      <c r="D7" s="16" t="s">
        <v>432</v>
      </c>
      <c r="E7" s="16" t="s">
        <v>433</v>
      </c>
      <c r="F7" s="16" t="s">
        <v>434</v>
      </c>
    </row>
    <row r="8" spans="1:6">
      <c r="A8" s="16" t="s">
        <v>67</v>
      </c>
      <c r="B8" s="16"/>
      <c r="C8" s="16" t="s">
        <v>435</v>
      </c>
      <c r="D8" s="16" t="s">
        <v>436</v>
      </c>
      <c r="E8" s="16" t="s">
        <v>437</v>
      </c>
      <c r="F8" s="16"/>
    </row>
    <row r="9" spans="1:6">
      <c r="A9" s="16" t="s">
        <v>438</v>
      </c>
      <c r="B9" s="16" t="s">
        <v>49</v>
      </c>
      <c r="C9" s="16" t="s">
        <v>439</v>
      </c>
      <c r="D9" s="16" t="s">
        <v>440</v>
      </c>
      <c r="E9" s="16" t="s">
        <v>441</v>
      </c>
      <c r="F9" s="16" t="s">
        <v>34</v>
      </c>
    </row>
    <row r="10" spans="1:6">
      <c r="A10" s="16" t="s">
        <v>104</v>
      </c>
      <c r="B10" s="16" t="s">
        <v>105</v>
      </c>
      <c r="C10" s="16" t="s">
        <v>442</v>
      </c>
      <c r="D10" s="16" t="s">
        <v>108</v>
      </c>
      <c r="E10" s="16" t="s">
        <v>443</v>
      </c>
      <c r="F10" s="16" t="s">
        <v>106</v>
      </c>
    </row>
    <row r="11" spans="1:6">
      <c r="A11" s="16" t="s">
        <v>444</v>
      </c>
      <c r="B11" s="16" t="s">
        <v>445</v>
      </c>
      <c r="C11" s="16" t="s">
        <v>446</v>
      </c>
      <c r="D11" s="16" t="s">
        <v>447</v>
      </c>
      <c r="E11" s="16" t="s">
        <v>448</v>
      </c>
      <c r="F11" s="16" t="s">
        <v>449</v>
      </c>
    </row>
    <row r="12" spans="1:6">
      <c r="A12" s="16" t="s">
        <v>121</v>
      </c>
      <c r="B12" s="16" t="s">
        <v>122</v>
      </c>
      <c r="C12" s="16" t="s">
        <v>450</v>
      </c>
      <c r="D12" s="16" t="s">
        <v>124</v>
      </c>
      <c r="E12" s="16" t="s">
        <v>451</v>
      </c>
      <c r="F12" s="16" t="s">
        <v>57</v>
      </c>
    </row>
    <row r="13" spans="1:6">
      <c r="A13" s="16" t="s">
        <v>452</v>
      </c>
      <c r="B13" s="16" t="s">
        <v>453</v>
      </c>
      <c r="C13" s="16" t="s">
        <v>454</v>
      </c>
      <c r="D13" s="16" t="s">
        <v>455</v>
      </c>
      <c r="E13" s="16" t="s">
        <v>456</v>
      </c>
      <c r="F13" s="16" t="s">
        <v>457</v>
      </c>
    </row>
    <row r="14" spans="1:6">
      <c r="A14" s="16" t="s">
        <v>458</v>
      </c>
      <c r="B14" s="16"/>
      <c r="C14" s="16" t="s">
        <v>459</v>
      </c>
      <c r="D14" s="16" t="s">
        <v>460</v>
      </c>
      <c r="E14" s="16" t="s">
        <v>461</v>
      </c>
      <c r="F14" s="16"/>
    </row>
    <row r="15" spans="1:6">
      <c r="A15" s="16" t="s">
        <v>243</v>
      </c>
      <c r="B15" s="16" t="s">
        <v>244</v>
      </c>
      <c r="C15" s="16" t="s">
        <v>462</v>
      </c>
      <c r="D15" s="16" t="s">
        <v>463</v>
      </c>
      <c r="E15" s="16" t="s">
        <v>464</v>
      </c>
      <c r="F15" s="16" t="s">
        <v>245</v>
      </c>
    </row>
    <row r="16" spans="1:6">
      <c r="A16" s="16" t="s">
        <v>234</v>
      </c>
      <c r="B16" s="16" t="s">
        <v>83</v>
      </c>
      <c r="C16" s="16" t="s">
        <v>465</v>
      </c>
      <c r="D16" s="16" t="s">
        <v>154</v>
      </c>
      <c r="E16" s="16" t="s">
        <v>466</v>
      </c>
      <c r="F16" s="16" t="s">
        <v>235</v>
      </c>
    </row>
    <row r="17" spans="1:6">
      <c r="A17" s="16" t="s">
        <v>151</v>
      </c>
      <c r="B17" s="16"/>
      <c r="C17" s="16" t="s">
        <v>467</v>
      </c>
      <c r="D17" s="16" t="s">
        <v>468</v>
      </c>
      <c r="E17" s="16" t="s">
        <v>469</v>
      </c>
      <c r="F17" s="16"/>
    </row>
    <row r="18" spans="1:6">
      <c r="A18" s="16" t="s">
        <v>470</v>
      </c>
      <c r="B18" s="16" t="s">
        <v>360</v>
      </c>
      <c r="C18" s="16" t="s">
        <v>471</v>
      </c>
      <c r="D18" s="16" t="s">
        <v>173</v>
      </c>
      <c r="E18" s="16" t="s">
        <v>472</v>
      </c>
      <c r="F18" s="16" t="s">
        <v>473</v>
      </c>
    </row>
    <row r="19" spans="1:6">
      <c r="A19" s="16" t="s">
        <v>165</v>
      </c>
      <c r="B19" s="16" t="s">
        <v>166</v>
      </c>
      <c r="C19" s="16" t="s">
        <v>474</v>
      </c>
      <c r="D19" s="16" t="s">
        <v>169</v>
      </c>
      <c r="E19" s="16" t="s">
        <v>475</v>
      </c>
      <c r="F19" s="16" t="s">
        <v>167</v>
      </c>
    </row>
    <row r="20" spans="1:6">
      <c r="A20" s="16" t="s">
        <v>175</v>
      </c>
      <c r="B20" s="16" t="s">
        <v>49</v>
      </c>
      <c r="C20" s="16" t="s">
        <v>476</v>
      </c>
      <c r="D20" s="16" t="s">
        <v>177</v>
      </c>
      <c r="E20" s="16" t="s">
        <v>477</v>
      </c>
      <c r="F20" s="16" t="s">
        <v>39</v>
      </c>
    </row>
    <row r="21" spans="1:6">
      <c r="A21" s="16" t="s">
        <v>179</v>
      </c>
      <c r="B21" s="16" t="s">
        <v>180</v>
      </c>
      <c r="C21" s="16" t="s">
        <v>478</v>
      </c>
      <c r="D21" s="16" t="s">
        <v>183</v>
      </c>
      <c r="E21" s="16" t="s">
        <v>479</v>
      </c>
      <c r="F21" s="16" t="s">
        <v>181</v>
      </c>
    </row>
    <row r="22" spans="1:6">
      <c r="A22" s="16" t="s">
        <v>201</v>
      </c>
      <c r="B22" s="16" t="s">
        <v>111</v>
      </c>
      <c r="C22" s="16" t="s">
        <v>480</v>
      </c>
      <c r="D22" s="16" t="s">
        <v>199</v>
      </c>
      <c r="E22" s="16" t="s">
        <v>481</v>
      </c>
      <c r="F22" s="16" t="s">
        <v>202</v>
      </c>
    </row>
    <row r="23" spans="1:6">
      <c r="A23" s="16" t="s">
        <v>121</v>
      </c>
      <c r="B23" s="16" t="s">
        <v>122</v>
      </c>
      <c r="C23" s="16" t="s">
        <v>450</v>
      </c>
      <c r="D23" s="16" t="s">
        <v>124</v>
      </c>
      <c r="E23" s="16" t="s">
        <v>451</v>
      </c>
      <c r="F23" s="16" t="s">
        <v>57</v>
      </c>
    </row>
    <row r="24" spans="1:6">
      <c r="A24" s="16" t="s">
        <v>452</v>
      </c>
      <c r="B24" s="16" t="s">
        <v>453</v>
      </c>
      <c r="C24" s="16" t="s">
        <v>454</v>
      </c>
      <c r="D24" s="16" t="s">
        <v>455</v>
      </c>
      <c r="E24" s="16" t="s">
        <v>456</v>
      </c>
      <c r="F24" s="16" t="s">
        <v>457</v>
      </c>
    </row>
    <row r="25" spans="1:6">
      <c r="A25" s="16" t="s">
        <v>458</v>
      </c>
      <c r="B25" s="16"/>
      <c r="C25" s="16" t="s">
        <v>459</v>
      </c>
      <c r="D25" s="16" t="s">
        <v>460</v>
      </c>
      <c r="E25" s="16" t="s">
        <v>461</v>
      </c>
      <c r="F25" s="16"/>
    </row>
    <row r="26" spans="1:6">
      <c r="A26" s="16" t="s">
        <v>243</v>
      </c>
      <c r="B26" s="16" t="s">
        <v>244</v>
      </c>
      <c r="C26" s="16" t="s">
        <v>462</v>
      </c>
      <c r="D26" s="16" t="s">
        <v>463</v>
      </c>
      <c r="E26" s="16" t="s">
        <v>464</v>
      </c>
      <c r="F26" s="16" t="s">
        <v>245</v>
      </c>
    </row>
    <row r="27" spans="1:6">
      <c r="A27" s="16" t="s">
        <v>234</v>
      </c>
      <c r="B27" s="16" t="s">
        <v>83</v>
      </c>
      <c r="C27" s="16" t="s">
        <v>465</v>
      </c>
      <c r="D27" s="16" t="s">
        <v>154</v>
      </c>
      <c r="E27" s="16" t="s">
        <v>466</v>
      </c>
      <c r="F27" s="16" t="s">
        <v>235</v>
      </c>
    </row>
    <row r="28" spans="1:6">
      <c r="A28" s="16" t="s">
        <v>151</v>
      </c>
      <c r="B28" s="16"/>
      <c r="C28" s="16" t="s">
        <v>467</v>
      </c>
      <c r="D28" s="16" t="s">
        <v>468</v>
      </c>
      <c r="E28" s="16" t="s">
        <v>469</v>
      </c>
      <c r="F28" s="16"/>
    </row>
    <row r="29" spans="1:6">
      <c r="A29" s="16" t="s">
        <v>470</v>
      </c>
      <c r="B29" s="16" t="s">
        <v>360</v>
      </c>
      <c r="C29" s="16" t="s">
        <v>471</v>
      </c>
      <c r="D29" s="16" t="s">
        <v>173</v>
      </c>
      <c r="E29" s="16" t="s">
        <v>472</v>
      </c>
      <c r="F29" s="16" t="s">
        <v>473</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3185D-A19C-4435-880B-BABB003D01E1}">
  <dimension ref="A1:E7"/>
  <sheetViews>
    <sheetView workbookViewId="0">
      <selection activeCell="E18" sqref="E18"/>
    </sheetView>
  </sheetViews>
  <sheetFormatPr defaultRowHeight="13.8"/>
  <cols>
    <col min="1" max="1" width="15.59765625" bestFit="1" customWidth="1"/>
    <col min="2" max="2" width="17.69921875" bestFit="1" customWidth="1"/>
    <col min="3" max="3" width="14.09765625" bestFit="1" customWidth="1"/>
    <col min="4" max="4" width="17.59765625" bestFit="1" customWidth="1"/>
    <col min="5" max="5" width="21.69921875" bestFit="1" customWidth="1"/>
  </cols>
  <sheetData>
    <row r="1" spans="1:5">
      <c r="A1" s="15" t="s">
        <v>26</v>
      </c>
      <c r="B1" s="15" t="s">
        <v>27</v>
      </c>
      <c r="C1" s="15" t="s">
        <v>28</v>
      </c>
      <c r="D1" s="15" t="s">
        <v>29</v>
      </c>
      <c r="E1" s="15" t="s">
        <v>30</v>
      </c>
    </row>
    <row r="2" spans="1:5">
      <c r="A2" s="16" t="s">
        <v>482</v>
      </c>
      <c r="B2" s="16" t="s">
        <v>83</v>
      </c>
      <c r="C2" s="16" t="s">
        <v>483</v>
      </c>
      <c r="D2" s="16" t="s">
        <v>484</v>
      </c>
      <c r="E2" s="16" t="s">
        <v>485</v>
      </c>
    </row>
    <row r="3" spans="1:5">
      <c r="A3" s="16" t="s">
        <v>486</v>
      </c>
      <c r="C3" s="16" t="s">
        <v>337</v>
      </c>
      <c r="D3" s="16" t="s">
        <v>487</v>
      </c>
      <c r="E3" s="16" t="s">
        <v>488</v>
      </c>
    </row>
    <row r="4" spans="1:5">
      <c r="A4" s="16" t="s">
        <v>234</v>
      </c>
      <c r="B4" s="16" t="s">
        <v>83</v>
      </c>
      <c r="C4" s="16" t="s">
        <v>235</v>
      </c>
      <c r="D4" s="16" t="s">
        <v>489</v>
      </c>
      <c r="E4" s="16" t="s">
        <v>490</v>
      </c>
    </row>
    <row r="5" spans="1:5">
      <c r="A5" s="16" t="s">
        <v>491</v>
      </c>
      <c r="B5" s="16" t="s">
        <v>83</v>
      </c>
      <c r="C5" s="16" t="s">
        <v>235</v>
      </c>
      <c r="D5" s="16" t="s">
        <v>487</v>
      </c>
      <c r="E5" s="16" t="s">
        <v>492</v>
      </c>
    </row>
    <row r="6" spans="1:5">
      <c r="A6" s="16" t="s">
        <v>151</v>
      </c>
      <c r="C6" s="16" t="s">
        <v>152</v>
      </c>
      <c r="D6" s="16" t="s">
        <v>484</v>
      </c>
      <c r="E6" s="16" t="s">
        <v>493</v>
      </c>
    </row>
    <row r="7" spans="1:5">
      <c r="A7" s="16" t="s">
        <v>494</v>
      </c>
      <c r="B7" s="16" t="s">
        <v>83</v>
      </c>
      <c r="C7" s="16" t="s">
        <v>495</v>
      </c>
      <c r="D7" s="16" t="s">
        <v>489</v>
      </c>
      <c r="E7" s="16" t="s">
        <v>496</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Pontos Turísticos</vt:lpstr>
      <vt:lpstr>Casa Chico</vt:lpstr>
      <vt:lpstr>Gruta do Baú</vt:lpstr>
      <vt:lpstr>Urubu</vt:lpstr>
      <vt:lpstr>Luiz Gonzaga</vt:lpstr>
      <vt:lpstr>Cinema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Júlia Michetti</cp:lastModifiedBy>
  <dcterms:modified xsi:type="dcterms:W3CDTF">2026-05-24T23:08:33Z</dcterms:modified>
</cp:coreProperties>
</file>